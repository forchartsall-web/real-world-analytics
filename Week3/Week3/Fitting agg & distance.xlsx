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eat Learning\Deakin GL\Real World Ananlytics\"/>
    </mc:Choice>
  </mc:AlternateContent>
  <xr:revisionPtr revIDLastSave="0" documentId="13_ncr:1_{EE6D1879-07A9-42C9-8800-82C35F63B9B3}" xr6:coauthVersionLast="47" xr6:coauthVersionMax="47" xr10:uidLastSave="{00000000-0000-0000-0000-000000000000}"/>
  <bookViews>
    <workbookView xWindow="-108" yWindow="-108" windowWidth="23256" windowHeight="12576" firstSheet="3" activeTab="6" xr2:uid="{D3E7D756-FEC2-4E2E-921C-781949106450}"/>
  </bookViews>
  <sheets>
    <sheet name="housing" sheetId="2" r:id="rId1"/>
    <sheet name="Sheet1" sheetId="11" r:id="rId2"/>
    <sheet name="Terms" sheetId="3" r:id="rId3"/>
    <sheet name="Sheet2" sheetId="12" r:id="rId4"/>
    <sheet name="Lin Reg" sheetId="4" r:id="rId5"/>
    <sheet name="Calc oF errors" sheetId="5" r:id="rId6"/>
    <sheet name="QAM" sheetId="1" r:id="rId7"/>
    <sheet name="Distance Formula" sheetId="7" r:id="rId8"/>
    <sheet name="Chebyshev" sheetId="8" r:id="rId9"/>
    <sheet name="Mahanalobis  Dist cal" sheetId="9" r:id="rId10"/>
    <sheet name="Minkowsky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J14" i="9" a="1"/>
  <c r="J14" i="9" s="1"/>
  <c r="F27" i="9" a="1"/>
  <c r="F27" i="9" s="1"/>
  <c r="F4" i="9"/>
  <c r="E503" i="7"/>
  <c r="G28" i="9" l="1"/>
  <c r="F28" i="9"/>
  <c r="G27" i="9"/>
  <c r="M14" i="9" l="1" a="1"/>
  <c r="M14" i="9" s="1"/>
  <c r="I4" i="9" a="1"/>
  <c r="I4" i="9" s="1"/>
  <c r="F24" i="9"/>
  <c r="G24" i="9" l="1"/>
  <c r="F23" i="9"/>
  <c r="D7" i="3"/>
  <c r="F503" i="8"/>
  <c r="I502" i="7"/>
  <c r="H14" i="1" l="1"/>
  <c r="G5" i="1"/>
  <c r="L5" i="1" l="1"/>
  <c r="C9" i="9"/>
  <c r="F8" i="9" l="1"/>
  <c r="B9" i="9"/>
  <c r="E7" i="9" s="1"/>
  <c r="F7" i="9"/>
  <c r="F6" i="9"/>
  <c r="E6" i="9"/>
  <c r="F5" i="9"/>
  <c r="E5" i="9"/>
  <c r="F502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13" i="8"/>
  <c r="I501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12" i="7"/>
  <c r="E502" i="7"/>
  <c r="E501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12" i="7"/>
  <c r="E4" i="9" l="1"/>
  <c r="C16" i="9" s="1"/>
  <c r="E8" i="9"/>
  <c r="D17" i="9"/>
  <c r="F16" i="9" l="1" a="1"/>
  <c r="F17" i="9" s="1"/>
  <c r="G16" i="9" l="1"/>
  <c r="G17" i="9"/>
  <c r="F16" i="9"/>
  <c r="M4" i="9" s="1" a="1"/>
  <c r="M4" i="9" s="1"/>
  <c r="S4" i="9" s="1"/>
  <c r="S5" i="9" l="1"/>
  <c r="S6" i="9"/>
  <c r="S7" i="9"/>
  <c r="S8" i="9"/>
  <c r="M32" i="1"/>
  <c r="M30" i="1"/>
  <c r="N33" i="1"/>
  <c r="M33" i="1"/>
  <c r="O33" i="1" s="1"/>
  <c r="N32" i="1"/>
  <c r="O32" i="1" s="1"/>
  <c r="N31" i="1"/>
  <c r="M31" i="1"/>
  <c r="O31" i="1" s="1"/>
  <c r="N30" i="1"/>
  <c r="N29" i="1"/>
  <c r="M29" i="1"/>
  <c r="F9" i="1"/>
  <c r="H9" i="1" s="1"/>
  <c r="F11" i="1"/>
  <c r="H11" i="1" s="1"/>
  <c r="H12" i="1"/>
  <c r="G9" i="1"/>
  <c r="G10" i="1"/>
  <c r="G11" i="1"/>
  <c r="G12" i="1"/>
  <c r="G8" i="1"/>
  <c r="F12" i="1"/>
  <c r="F10" i="1"/>
  <c r="H10" i="1" s="1"/>
  <c r="F8" i="1"/>
  <c r="H8" i="1" s="1"/>
  <c r="F40" i="1"/>
  <c r="D502" i="5"/>
  <c r="H493" i="5"/>
  <c r="G493" i="5"/>
  <c r="E493" i="5"/>
  <c r="K492" i="5"/>
  <c r="H492" i="5"/>
  <c r="E492" i="5"/>
  <c r="G492" i="5" s="1"/>
  <c r="L492" i="5" s="1"/>
  <c r="E491" i="5"/>
  <c r="G491" i="5" s="1"/>
  <c r="E490" i="5"/>
  <c r="G490" i="5" s="1"/>
  <c r="H489" i="5"/>
  <c r="G489" i="5"/>
  <c r="E489" i="5"/>
  <c r="K488" i="5"/>
  <c r="H488" i="5"/>
  <c r="E488" i="5"/>
  <c r="G488" i="5" s="1"/>
  <c r="L488" i="5" s="1"/>
  <c r="E487" i="5"/>
  <c r="G487" i="5" s="1"/>
  <c r="E486" i="5"/>
  <c r="G486" i="5" s="1"/>
  <c r="H485" i="5"/>
  <c r="G485" i="5"/>
  <c r="E485" i="5"/>
  <c r="K484" i="5"/>
  <c r="H484" i="5"/>
  <c r="E484" i="5"/>
  <c r="G484" i="5" s="1"/>
  <c r="L484" i="5" s="1"/>
  <c r="E483" i="5"/>
  <c r="G483" i="5" s="1"/>
  <c r="E482" i="5"/>
  <c r="G482" i="5" s="1"/>
  <c r="H481" i="5"/>
  <c r="G481" i="5"/>
  <c r="E481" i="5"/>
  <c r="H480" i="5"/>
  <c r="E480" i="5"/>
  <c r="G480" i="5" s="1"/>
  <c r="L480" i="5" s="1"/>
  <c r="E479" i="5"/>
  <c r="G479" i="5" s="1"/>
  <c r="E478" i="5"/>
  <c r="G478" i="5" s="1"/>
  <c r="H477" i="5"/>
  <c r="G477" i="5"/>
  <c r="E477" i="5"/>
  <c r="H476" i="5"/>
  <c r="E476" i="5"/>
  <c r="G476" i="5" s="1"/>
  <c r="L476" i="5" s="1"/>
  <c r="E475" i="5"/>
  <c r="G475" i="5" s="1"/>
  <c r="E474" i="5"/>
  <c r="G474" i="5" s="1"/>
  <c r="H473" i="5"/>
  <c r="G473" i="5"/>
  <c r="E473" i="5"/>
  <c r="H472" i="5"/>
  <c r="E472" i="5"/>
  <c r="G472" i="5" s="1"/>
  <c r="L472" i="5" s="1"/>
  <c r="E471" i="5"/>
  <c r="G471" i="5" s="1"/>
  <c r="E470" i="5"/>
  <c r="G470" i="5" s="1"/>
  <c r="H469" i="5"/>
  <c r="G469" i="5"/>
  <c r="E469" i="5"/>
  <c r="H468" i="5"/>
  <c r="E468" i="5"/>
  <c r="G468" i="5" s="1"/>
  <c r="L468" i="5" s="1"/>
  <c r="E467" i="5"/>
  <c r="G467" i="5" s="1"/>
  <c r="E466" i="5"/>
  <c r="G466" i="5" s="1"/>
  <c r="H465" i="5"/>
  <c r="G465" i="5"/>
  <c r="E465" i="5"/>
  <c r="H464" i="5"/>
  <c r="E464" i="5"/>
  <c r="G464" i="5" s="1"/>
  <c r="L464" i="5" s="1"/>
  <c r="E463" i="5"/>
  <c r="G463" i="5" s="1"/>
  <c r="E462" i="5"/>
  <c r="G462" i="5" s="1"/>
  <c r="H461" i="5"/>
  <c r="G461" i="5"/>
  <c r="E461" i="5"/>
  <c r="H460" i="5"/>
  <c r="E460" i="5"/>
  <c r="G460" i="5" s="1"/>
  <c r="L460" i="5" s="1"/>
  <c r="E459" i="5"/>
  <c r="G459" i="5" s="1"/>
  <c r="E458" i="5"/>
  <c r="G458" i="5" s="1"/>
  <c r="G457" i="5"/>
  <c r="E457" i="5"/>
  <c r="H456" i="5"/>
  <c r="E456" i="5"/>
  <c r="G456" i="5" s="1"/>
  <c r="E455" i="5"/>
  <c r="G455" i="5" s="1"/>
  <c r="E454" i="5"/>
  <c r="G454" i="5" s="1"/>
  <c r="H453" i="5"/>
  <c r="G453" i="5"/>
  <c r="E453" i="5"/>
  <c r="H452" i="5"/>
  <c r="E452" i="5"/>
  <c r="G452" i="5" s="1"/>
  <c r="E451" i="5"/>
  <c r="G451" i="5" s="1"/>
  <c r="E450" i="5"/>
  <c r="G450" i="5" s="1"/>
  <c r="H449" i="5"/>
  <c r="G449" i="5"/>
  <c r="E449" i="5"/>
  <c r="H448" i="5"/>
  <c r="E448" i="5"/>
  <c r="G448" i="5" s="1"/>
  <c r="E447" i="5"/>
  <c r="G447" i="5" s="1"/>
  <c r="E446" i="5"/>
  <c r="G446" i="5" s="1"/>
  <c r="H445" i="5"/>
  <c r="G445" i="5"/>
  <c r="E445" i="5"/>
  <c r="H444" i="5"/>
  <c r="E444" i="5"/>
  <c r="G444" i="5" s="1"/>
  <c r="E443" i="5"/>
  <c r="G443" i="5" s="1"/>
  <c r="E442" i="5"/>
  <c r="G442" i="5" s="1"/>
  <c r="H441" i="5"/>
  <c r="G441" i="5"/>
  <c r="E441" i="5"/>
  <c r="H440" i="5"/>
  <c r="E440" i="5"/>
  <c r="G440" i="5" s="1"/>
  <c r="E439" i="5"/>
  <c r="G439" i="5" s="1"/>
  <c r="E438" i="5"/>
  <c r="G438" i="5" s="1"/>
  <c r="H437" i="5"/>
  <c r="G437" i="5"/>
  <c r="E437" i="5"/>
  <c r="H436" i="5"/>
  <c r="E436" i="5"/>
  <c r="G436" i="5" s="1"/>
  <c r="E435" i="5"/>
  <c r="G435" i="5" s="1"/>
  <c r="E434" i="5"/>
  <c r="G434" i="5" s="1"/>
  <c r="H433" i="5"/>
  <c r="G433" i="5"/>
  <c r="E433" i="5"/>
  <c r="H432" i="5"/>
  <c r="E432" i="5"/>
  <c r="G432" i="5" s="1"/>
  <c r="E431" i="5"/>
  <c r="G431" i="5" s="1"/>
  <c r="E430" i="5"/>
  <c r="G430" i="5" s="1"/>
  <c r="H429" i="5"/>
  <c r="G429" i="5"/>
  <c r="E429" i="5"/>
  <c r="H428" i="5"/>
  <c r="E428" i="5"/>
  <c r="G428" i="5" s="1"/>
  <c r="E427" i="5"/>
  <c r="G427" i="5" s="1"/>
  <c r="E426" i="5"/>
  <c r="G426" i="5" s="1"/>
  <c r="H425" i="5"/>
  <c r="G425" i="5"/>
  <c r="E425" i="5"/>
  <c r="H424" i="5"/>
  <c r="E424" i="5"/>
  <c r="G424" i="5" s="1"/>
  <c r="E423" i="5"/>
  <c r="G423" i="5" s="1"/>
  <c r="E422" i="5"/>
  <c r="G422" i="5" s="1"/>
  <c r="G421" i="5"/>
  <c r="E421" i="5"/>
  <c r="H420" i="5"/>
  <c r="E420" i="5"/>
  <c r="G420" i="5" s="1"/>
  <c r="E419" i="5"/>
  <c r="G419" i="5" s="1"/>
  <c r="E418" i="5"/>
  <c r="G418" i="5" s="1"/>
  <c r="G417" i="5"/>
  <c r="E417" i="5"/>
  <c r="H416" i="5"/>
  <c r="E416" i="5"/>
  <c r="G416" i="5" s="1"/>
  <c r="E415" i="5"/>
  <c r="G415" i="5" s="1"/>
  <c r="E414" i="5"/>
  <c r="G414" i="5" s="1"/>
  <c r="G413" i="5"/>
  <c r="E413" i="5"/>
  <c r="H412" i="5"/>
  <c r="E412" i="5"/>
  <c r="G412" i="5" s="1"/>
  <c r="E411" i="5"/>
  <c r="G411" i="5" s="1"/>
  <c r="E410" i="5"/>
  <c r="G410" i="5" s="1"/>
  <c r="L409" i="5"/>
  <c r="K409" i="5"/>
  <c r="E409" i="5"/>
  <c r="G409" i="5" s="1"/>
  <c r="H409" i="5" s="1"/>
  <c r="E408" i="5"/>
  <c r="G408" i="5" s="1"/>
  <c r="G407" i="5"/>
  <c r="E407" i="5"/>
  <c r="K406" i="5"/>
  <c r="H406" i="5"/>
  <c r="G406" i="5"/>
  <c r="L406" i="5" s="1"/>
  <c r="E406" i="5"/>
  <c r="E405" i="5"/>
  <c r="G405" i="5" s="1"/>
  <c r="G404" i="5"/>
  <c r="E404" i="5"/>
  <c r="H403" i="5"/>
  <c r="G403" i="5"/>
  <c r="E403" i="5"/>
  <c r="H402" i="5"/>
  <c r="E402" i="5"/>
  <c r="G402" i="5" s="1"/>
  <c r="L402" i="5" s="1"/>
  <c r="E401" i="5"/>
  <c r="G401" i="5" s="1"/>
  <c r="G400" i="5"/>
  <c r="E400" i="5"/>
  <c r="H399" i="5"/>
  <c r="G399" i="5"/>
  <c r="E399" i="5"/>
  <c r="H398" i="5"/>
  <c r="E398" i="5"/>
  <c r="G398" i="5" s="1"/>
  <c r="L398" i="5" s="1"/>
  <c r="E397" i="5"/>
  <c r="G397" i="5" s="1"/>
  <c r="L396" i="5"/>
  <c r="G396" i="5"/>
  <c r="E396" i="5"/>
  <c r="H395" i="5"/>
  <c r="G395" i="5"/>
  <c r="E395" i="5"/>
  <c r="H394" i="5"/>
  <c r="E394" i="5"/>
  <c r="G394" i="5" s="1"/>
  <c r="L394" i="5" s="1"/>
  <c r="E393" i="5"/>
  <c r="G393" i="5" s="1"/>
  <c r="L392" i="5"/>
  <c r="G392" i="5"/>
  <c r="E392" i="5"/>
  <c r="H391" i="5"/>
  <c r="G391" i="5"/>
  <c r="E391" i="5"/>
  <c r="H390" i="5"/>
  <c r="E390" i="5"/>
  <c r="G390" i="5" s="1"/>
  <c r="L390" i="5" s="1"/>
  <c r="E389" i="5"/>
  <c r="G389" i="5" s="1"/>
  <c r="L388" i="5"/>
  <c r="G388" i="5"/>
  <c r="E388" i="5"/>
  <c r="H387" i="5"/>
  <c r="G387" i="5"/>
  <c r="E387" i="5"/>
  <c r="K386" i="5"/>
  <c r="H386" i="5"/>
  <c r="G386" i="5"/>
  <c r="L386" i="5" s="1"/>
  <c r="E386" i="5"/>
  <c r="K385" i="5"/>
  <c r="E385" i="5"/>
  <c r="G385" i="5" s="1"/>
  <c r="H385" i="5" s="1"/>
  <c r="E384" i="5"/>
  <c r="G384" i="5" s="1"/>
  <c r="H383" i="5"/>
  <c r="G383" i="5"/>
  <c r="E383" i="5"/>
  <c r="K382" i="5"/>
  <c r="H382" i="5"/>
  <c r="E382" i="5"/>
  <c r="G382" i="5" s="1"/>
  <c r="L382" i="5" s="1"/>
  <c r="K381" i="5"/>
  <c r="E381" i="5"/>
  <c r="G381" i="5" s="1"/>
  <c r="H381" i="5" s="1"/>
  <c r="E380" i="5"/>
  <c r="G380" i="5" s="1"/>
  <c r="H379" i="5"/>
  <c r="G379" i="5"/>
  <c r="E379" i="5"/>
  <c r="K378" i="5"/>
  <c r="H378" i="5"/>
  <c r="E378" i="5"/>
  <c r="G378" i="5" s="1"/>
  <c r="L378" i="5" s="1"/>
  <c r="K377" i="5"/>
  <c r="E377" i="5"/>
  <c r="G377" i="5" s="1"/>
  <c r="H377" i="5" s="1"/>
  <c r="E376" i="5"/>
  <c r="G376" i="5" s="1"/>
  <c r="H375" i="5"/>
  <c r="G375" i="5"/>
  <c r="E375" i="5"/>
  <c r="K374" i="5"/>
  <c r="H374" i="5"/>
  <c r="E374" i="5"/>
  <c r="G374" i="5" s="1"/>
  <c r="L374" i="5" s="1"/>
  <c r="K373" i="5"/>
  <c r="E373" i="5"/>
  <c r="G373" i="5" s="1"/>
  <c r="H373" i="5" s="1"/>
  <c r="E372" i="5"/>
  <c r="G372" i="5" s="1"/>
  <c r="H371" i="5"/>
  <c r="G371" i="5"/>
  <c r="E371" i="5"/>
  <c r="K370" i="5"/>
  <c r="H370" i="5"/>
  <c r="E370" i="5"/>
  <c r="G370" i="5" s="1"/>
  <c r="L370" i="5" s="1"/>
  <c r="K369" i="5"/>
  <c r="G369" i="5"/>
  <c r="H369" i="5" s="1"/>
  <c r="E369" i="5"/>
  <c r="H368" i="5"/>
  <c r="G368" i="5"/>
  <c r="K368" i="5" s="1"/>
  <c r="E368" i="5"/>
  <c r="H367" i="5"/>
  <c r="G367" i="5"/>
  <c r="L367" i="5" s="1"/>
  <c r="E367" i="5"/>
  <c r="K366" i="5"/>
  <c r="H366" i="5"/>
  <c r="E366" i="5"/>
  <c r="G366" i="5" s="1"/>
  <c r="L366" i="5" s="1"/>
  <c r="K365" i="5"/>
  <c r="H365" i="5"/>
  <c r="G365" i="5"/>
  <c r="L365" i="5" s="1"/>
  <c r="E365" i="5"/>
  <c r="L364" i="5"/>
  <c r="E364" i="5"/>
  <c r="G364" i="5" s="1"/>
  <c r="G363" i="5"/>
  <c r="E363" i="5"/>
  <c r="H362" i="5"/>
  <c r="G362" i="5"/>
  <c r="L362" i="5" s="1"/>
  <c r="E362" i="5"/>
  <c r="K361" i="5"/>
  <c r="H361" i="5"/>
  <c r="G361" i="5"/>
  <c r="L361" i="5" s="1"/>
  <c r="E361" i="5"/>
  <c r="E360" i="5"/>
  <c r="G360" i="5" s="1"/>
  <c r="G359" i="5"/>
  <c r="E359" i="5"/>
  <c r="H358" i="5"/>
  <c r="G358" i="5"/>
  <c r="L358" i="5" s="1"/>
  <c r="E358" i="5"/>
  <c r="K357" i="5"/>
  <c r="H357" i="5"/>
  <c r="G357" i="5"/>
  <c r="L357" i="5" s="1"/>
  <c r="E357" i="5"/>
  <c r="E356" i="5"/>
  <c r="G356" i="5" s="1"/>
  <c r="G355" i="5"/>
  <c r="E355" i="5"/>
  <c r="H354" i="5"/>
  <c r="G354" i="5"/>
  <c r="L354" i="5" s="1"/>
  <c r="E354" i="5"/>
  <c r="K353" i="5"/>
  <c r="H353" i="5"/>
  <c r="G353" i="5"/>
  <c r="L353" i="5" s="1"/>
  <c r="E353" i="5"/>
  <c r="L352" i="5"/>
  <c r="E352" i="5"/>
  <c r="G352" i="5" s="1"/>
  <c r="G351" i="5"/>
  <c r="E351" i="5"/>
  <c r="H350" i="5"/>
  <c r="G350" i="5"/>
  <c r="L350" i="5" s="1"/>
  <c r="E350" i="5"/>
  <c r="K349" i="5"/>
  <c r="H349" i="5"/>
  <c r="G349" i="5"/>
  <c r="L349" i="5" s="1"/>
  <c r="E349" i="5"/>
  <c r="L348" i="5"/>
  <c r="E348" i="5"/>
  <c r="G348" i="5" s="1"/>
  <c r="G347" i="5"/>
  <c r="E347" i="5"/>
  <c r="H346" i="5"/>
  <c r="G346" i="5"/>
  <c r="L346" i="5" s="1"/>
  <c r="E346" i="5"/>
  <c r="E345" i="5"/>
  <c r="G345" i="5" s="1"/>
  <c r="L344" i="5"/>
  <c r="E344" i="5"/>
  <c r="G344" i="5" s="1"/>
  <c r="H344" i="5" s="1"/>
  <c r="L343" i="5"/>
  <c r="G343" i="5"/>
  <c r="E343" i="5"/>
  <c r="G342" i="5"/>
  <c r="E342" i="5"/>
  <c r="E341" i="5"/>
  <c r="G341" i="5" s="1"/>
  <c r="L340" i="5"/>
  <c r="E340" i="5"/>
  <c r="G340" i="5" s="1"/>
  <c r="H340" i="5" s="1"/>
  <c r="L339" i="5"/>
  <c r="G339" i="5"/>
  <c r="E339" i="5"/>
  <c r="G338" i="5"/>
  <c r="E338" i="5"/>
  <c r="K337" i="5"/>
  <c r="H337" i="5"/>
  <c r="G337" i="5"/>
  <c r="L337" i="5" s="1"/>
  <c r="E337" i="5"/>
  <c r="E336" i="5"/>
  <c r="G336" i="5" s="1"/>
  <c r="E335" i="5"/>
  <c r="G335" i="5" s="1"/>
  <c r="H334" i="5"/>
  <c r="G334" i="5"/>
  <c r="E334" i="5"/>
  <c r="H333" i="5"/>
  <c r="E333" i="5"/>
  <c r="G333" i="5" s="1"/>
  <c r="L333" i="5" s="1"/>
  <c r="E332" i="5"/>
  <c r="G332" i="5" s="1"/>
  <c r="E331" i="5"/>
  <c r="G331" i="5" s="1"/>
  <c r="H330" i="5"/>
  <c r="G330" i="5"/>
  <c r="E330" i="5"/>
  <c r="H329" i="5"/>
  <c r="E329" i="5"/>
  <c r="G329" i="5" s="1"/>
  <c r="L329" i="5" s="1"/>
  <c r="E328" i="5"/>
  <c r="G328" i="5" s="1"/>
  <c r="E327" i="5"/>
  <c r="G327" i="5" s="1"/>
  <c r="H326" i="5"/>
  <c r="G326" i="5"/>
  <c r="E326" i="5"/>
  <c r="K325" i="5"/>
  <c r="H325" i="5"/>
  <c r="G325" i="5"/>
  <c r="L325" i="5" s="1"/>
  <c r="E325" i="5"/>
  <c r="K324" i="5"/>
  <c r="E324" i="5"/>
  <c r="G324" i="5" s="1"/>
  <c r="H324" i="5" s="1"/>
  <c r="E323" i="5"/>
  <c r="G323" i="5" s="1"/>
  <c r="H322" i="5"/>
  <c r="G322" i="5"/>
  <c r="E322" i="5"/>
  <c r="K321" i="5"/>
  <c r="H321" i="5"/>
  <c r="G321" i="5"/>
  <c r="L321" i="5" s="1"/>
  <c r="E321" i="5"/>
  <c r="L320" i="5"/>
  <c r="K320" i="5"/>
  <c r="E320" i="5"/>
  <c r="G320" i="5" s="1"/>
  <c r="H320" i="5" s="1"/>
  <c r="G319" i="5"/>
  <c r="E319" i="5"/>
  <c r="G318" i="5"/>
  <c r="E318" i="5"/>
  <c r="K317" i="5"/>
  <c r="E317" i="5"/>
  <c r="G317" i="5" s="1"/>
  <c r="E316" i="5"/>
  <c r="G316" i="5" s="1"/>
  <c r="G315" i="5"/>
  <c r="E315" i="5"/>
  <c r="K314" i="5"/>
  <c r="E314" i="5"/>
  <c r="G314" i="5" s="1"/>
  <c r="L314" i="5" s="1"/>
  <c r="L313" i="5"/>
  <c r="K313" i="5"/>
  <c r="E313" i="5"/>
  <c r="G313" i="5" s="1"/>
  <c r="H313" i="5" s="1"/>
  <c r="E312" i="5"/>
  <c r="G312" i="5" s="1"/>
  <c r="G311" i="5"/>
  <c r="E311" i="5"/>
  <c r="K310" i="5"/>
  <c r="E310" i="5"/>
  <c r="G310" i="5" s="1"/>
  <c r="L310" i="5" s="1"/>
  <c r="L309" i="5"/>
  <c r="K309" i="5"/>
  <c r="E309" i="5"/>
  <c r="G309" i="5" s="1"/>
  <c r="H309" i="5" s="1"/>
  <c r="E308" i="5"/>
  <c r="G308" i="5" s="1"/>
  <c r="G307" i="5"/>
  <c r="E307" i="5"/>
  <c r="K306" i="5"/>
  <c r="E306" i="5"/>
  <c r="G306" i="5" s="1"/>
  <c r="L306" i="5" s="1"/>
  <c r="K305" i="5"/>
  <c r="E305" i="5"/>
  <c r="G305" i="5" s="1"/>
  <c r="H305" i="5" s="1"/>
  <c r="E304" i="5"/>
  <c r="G304" i="5" s="1"/>
  <c r="G303" i="5"/>
  <c r="E303" i="5"/>
  <c r="K302" i="5"/>
  <c r="E302" i="5"/>
  <c r="G302" i="5" s="1"/>
  <c r="L302" i="5" s="1"/>
  <c r="K301" i="5"/>
  <c r="E301" i="5"/>
  <c r="G301" i="5" s="1"/>
  <c r="H301" i="5" s="1"/>
  <c r="E300" i="5"/>
  <c r="G300" i="5" s="1"/>
  <c r="G299" i="5"/>
  <c r="E299" i="5"/>
  <c r="K298" i="5"/>
  <c r="E298" i="5"/>
  <c r="G298" i="5" s="1"/>
  <c r="L298" i="5" s="1"/>
  <c r="K297" i="5"/>
  <c r="E297" i="5"/>
  <c r="G297" i="5" s="1"/>
  <c r="H297" i="5" s="1"/>
  <c r="E296" i="5"/>
  <c r="G296" i="5" s="1"/>
  <c r="G295" i="5"/>
  <c r="E295" i="5"/>
  <c r="K294" i="5"/>
  <c r="E294" i="5"/>
  <c r="G294" i="5" s="1"/>
  <c r="L294" i="5" s="1"/>
  <c r="K293" i="5"/>
  <c r="E293" i="5"/>
  <c r="G293" i="5" s="1"/>
  <c r="H293" i="5" s="1"/>
  <c r="E292" i="5"/>
  <c r="G292" i="5" s="1"/>
  <c r="G291" i="5"/>
  <c r="E291" i="5"/>
  <c r="K290" i="5"/>
  <c r="E290" i="5"/>
  <c r="G290" i="5" s="1"/>
  <c r="L290" i="5" s="1"/>
  <c r="K289" i="5"/>
  <c r="E289" i="5"/>
  <c r="G289" i="5" s="1"/>
  <c r="H289" i="5" s="1"/>
  <c r="E288" i="5"/>
  <c r="G288" i="5" s="1"/>
  <c r="G287" i="5"/>
  <c r="E287" i="5"/>
  <c r="K286" i="5"/>
  <c r="H286" i="5"/>
  <c r="G286" i="5"/>
  <c r="L286" i="5" s="1"/>
  <c r="E286" i="5"/>
  <c r="L285" i="5"/>
  <c r="E285" i="5"/>
  <c r="G285" i="5" s="1"/>
  <c r="H285" i="5" s="1"/>
  <c r="G284" i="5"/>
  <c r="E284" i="5"/>
  <c r="H283" i="5"/>
  <c r="G283" i="5"/>
  <c r="E283" i="5"/>
  <c r="K282" i="5"/>
  <c r="H282" i="5"/>
  <c r="E282" i="5"/>
  <c r="G282" i="5" s="1"/>
  <c r="L282" i="5" s="1"/>
  <c r="L281" i="5"/>
  <c r="E281" i="5"/>
  <c r="G281" i="5" s="1"/>
  <c r="H281" i="5" s="1"/>
  <c r="G280" i="5"/>
  <c r="E280" i="5"/>
  <c r="H279" i="5"/>
  <c r="G279" i="5"/>
  <c r="E279" i="5"/>
  <c r="K278" i="5"/>
  <c r="H278" i="5"/>
  <c r="E278" i="5"/>
  <c r="G278" i="5" s="1"/>
  <c r="L278" i="5" s="1"/>
  <c r="L277" i="5"/>
  <c r="E277" i="5"/>
  <c r="G277" i="5" s="1"/>
  <c r="H277" i="5" s="1"/>
  <c r="G276" i="5"/>
  <c r="E276" i="5"/>
  <c r="H275" i="5"/>
  <c r="G275" i="5"/>
  <c r="E275" i="5"/>
  <c r="K274" i="5"/>
  <c r="H274" i="5"/>
  <c r="G274" i="5"/>
  <c r="L274" i="5" s="1"/>
  <c r="E274" i="5"/>
  <c r="L273" i="5"/>
  <c r="K273" i="5"/>
  <c r="E273" i="5"/>
  <c r="G273" i="5" s="1"/>
  <c r="H273" i="5" s="1"/>
  <c r="L272" i="5"/>
  <c r="E272" i="5"/>
  <c r="G272" i="5" s="1"/>
  <c r="G271" i="5"/>
  <c r="E271" i="5"/>
  <c r="E270" i="5"/>
  <c r="G270" i="5" s="1"/>
  <c r="L269" i="5"/>
  <c r="K269" i="5"/>
  <c r="E269" i="5"/>
  <c r="G269" i="5" s="1"/>
  <c r="H269" i="5" s="1"/>
  <c r="L268" i="5"/>
  <c r="E268" i="5"/>
  <c r="G268" i="5" s="1"/>
  <c r="G267" i="5"/>
  <c r="E267" i="5"/>
  <c r="E266" i="5"/>
  <c r="G266" i="5" s="1"/>
  <c r="L265" i="5"/>
  <c r="K265" i="5"/>
  <c r="E265" i="5"/>
  <c r="G265" i="5" s="1"/>
  <c r="H265" i="5" s="1"/>
  <c r="L264" i="5"/>
  <c r="E264" i="5"/>
  <c r="G264" i="5" s="1"/>
  <c r="G263" i="5"/>
  <c r="E263" i="5"/>
  <c r="E262" i="5"/>
  <c r="G262" i="5" s="1"/>
  <c r="L261" i="5"/>
  <c r="K261" i="5"/>
  <c r="E261" i="5"/>
  <c r="G261" i="5" s="1"/>
  <c r="H261" i="5" s="1"/>
  <c r="L260" i="5"/>
  <c r="E260" i="5"/>
  <c r="G260" i="5" s="1"/>
  <c r="G259" i="5"/>
  <c r="E259" i="5"/>
  <c r="E258" i="5"/>
  <c r="G258" i="5" s="1"/>
  <c r="K257" i="5"/>
  <c r="E257" i="5"/>
  <c r="G257" i="5" s="1"/>
  <c r="H257" i="5" s="1"/>
  <c r="E256" i="5"/>
  <c r="G256" i="5" s="1"/>
  <c r="G255" i="5"/>
  <c r="E255" i="5"/>
  <c r="E254" i="5"/>
  <c r="G254" i="5" s="1"/>
  <c r="K253" i="5"/>
  <c r="E253" i="5"/>
  <c r="G253" i="5" s="1"/>
  <c r="H253" i="5" s="1"/>
  <c r="L252" i="5"/>
  <c r="E252" i="5"/>
  <c r="G252" i="5" s="1"/>
  <c r="G251" i="5"/>
  <c r="E251" i="5"/>
  <c r="E250" i="5"/>
  <c r="G250" i="5" s="1"/>
  <c r="K249" i="5"/>
  <c r="E249" i="5"/>
  <c r="G249" i="5" s="1"/>
  <c r="H249" i="5" s="1"/>
  <c r="E248" i="5"/>
  <c r="G248" i="5" s="1"/>
  <c r="G247" i="5"/>
  <c r="E247" i="5"/>
  <c r="E246" i="5"/>
  <c r="G246" i="5" s="1"/>
  <c r="K245" i="5"/>
  <c r="E245" i="5"/>
  <c r="G245" i="5" s="1"/>
  <c r="H245" i="5" s="1"/>
  <c r="L244" i="5"/>
  <c r="E244" i="5"/>
  <c r="G244" i="5" s="1"/>
  <c r="G243" i="5"/>
  <c r="E243" i="5"/>
  <c r="E242" i="5"/>
  <c r="G242" i="5" s="1"/>
  <c r="K241" i="5"/>
  <c r="E241" i="5"/>
  <c r="G241" i="5" s="1"/>
  <c r="H241" i="5" s="1"/>
  <c r="L240" i="5"/>
  <c r="E240" i="5"/>
  <c r="G240" i="5" s="1"/>
  <c r="G239" i="5"/>
  <c r="E239" i="5"/>
  <c r="E238" i="5"/>
  <c r="G238" i="5" s="1"/>
  <c r="K237" i="5"/>
  <c r="E237" i="5"/>
  <c r="G237" i="5" s="1"/>
  <c r="H237" i="5" s="1"/>
  <c r="L236" i="5"/>
  <c r="E236" i="5"/>
  <c r="G236" i="5" s="1"/>
  <c r="G235" i="5"/>
  <c r="E235" i="5"/>
  <c r="E234" i="5"/>
  <c r="G234" i="5" s="1"/>
  <c r="K233" i="5"/>
  <c r="E233" i="5"/>
  <c r="G233" i="5" s="1"/>
  <c r="H233" i="5" s="1"/>
  <c r="E232" i="5"/>
  <c r="G232" i="5" s="1"/>
  <c r="G231" i="5"/>
  <c r="E231" i="5"/>
  <c r="E230" i="5"/>
  <c r="G230" i="5" s="1"/>
  <c r="K229" i="5"/>
  <c r="E229" i="5"/>
  <c r="G229" i="5" s="1"/>
  <c r="H229" i="5" s="1"/>
  <c r="L228" i="5"/>
  <c r="E228" i="5"/>
  <c r="G228" i="5" s="1"/>
  <c r="G227" i="5"/>
  <c r="E227" i="5"/>
  <c r="E226" i="5"/>
  <c r="G226" i="5" s="1"/>
  <c r="K225" i="5"/>
  <c r="E225" i="5"/>
  <c r="G225" i="5" s="1"/>
  <c r="H225" i="5" s="1"/>
  <c r="L224" i="5"/>
  <c r="E224" i="5"/>
  <c r="G224" i="5" s="1"/>
  <c r="G223" i="5"/>
  <c r="E223" i="5"/>
  <c r="K222" i="5"/>
  <c r="H222" i="5"/>
  <c r="G222" i="5"/>
  <c r="L222" i="5" s="1"/>
  <c r="E222" i="5"/>
  <c r="E221" i="5"/>
  <c r="G221" i="5" s="1"/>
  <c r="G220" i="5"/>
  <c r="E220" i="5"/>
  <c r="H219" i="5"/>
  <c r="G219" i="5"/>
  <c r="E219" i="5"/>
  <c r="K218" i="5"/>
  <c r="H218" i="5"/>
  <c r="E218" i="5"/>
  <c r="G218" i="5" s="1"/>
  <c r="L218" i="5" s="1"/>
  <c r="E217" i="5"/>
  <c r="G217" i="5" s="1"/>
  <c r="G216" i="5"/>
  <c r="E216" i="5"/>
  <c r="H215" i="5"/>
  <c r="G215" i="5"/>
  <c r="E215" i="5"/>
  <c r="K214" i="5"/>
  <c r="H214" i="5"/>
  <c r="E214" i="5"/>
  <c r="G214" i="5" s="1"/>
  <c r="L214" i="5" s="1"/>
  <c r="E213" i="5"/>
  <c r="G213" i="5" s="1"/>
  <c r="G212" i="5"/>
  <c r="E212" i="5"/>
  <c r="H211" i="5"/>
  <c r="G211" i="5"/>
  <c r="E211" i="5"/>
  <c r="K210" i="5"/>
  <c r="H210" i="5"/>
  <c r="E210" i="5"/>
  <c r="G210" i="5" s="1"/>
  <c r="L210" i="5" s="1"/>
  <c r="E209" i="5"/>
  <c r="G209" i="5" s="1"/>
  <c r="G208" i="5"/>
  <c r="E208" i="5"/>
  <c r="H207" i="5"/>
  <c r="G207" i="5"/>
  <c r="E207" i="5"/>
  <c r="K206" i="5"/>
  <c r="H206" i="5"/>
  <c r="E206" i="5"/>
  <c r="G206" i="5" s="1"/>
  <c r="L206" i="5" s="1"/>
  <c r="E205" i="5"/>
  <c r="G205" i="5" s="1"/>
  <c r="G204" i="5"/>
  <c r="E204" i="5"/>
  <c r="H203" i="5"/>
  <c r="G203" i="5"/>
  <c r="E203" i="5"/>
  <c r="K202" i="5"/>
  <c r="H202" i="5"/>
  <c r="E202" i="5"/>
  <c r="G202" i="5" s="1"/>
  <c r="L202" i="5" s="1"/>
  <c r="E201" i="5"/>
  <c r="G201" i="5" s="1"/>
  <c r="G200" i="5"/>
  <c r="E200" i="5"/>
  <c r="H199" i="5"/>
  <c r="G199" i="5"/>
  <c r="E199" i="5"/>
  <c r="K198" i="5"/>
  <c r="H198" i="5"/>
  <c r="E198" i="5"/>
  <c r="G198" i="5" s="1"/>
  <c r="L198" i="5" s="1"/>
  <c r="E197" i="5"/>
  <c r="G197" i="5" s="1"/>
  <c r="G196" i="5"/>
  <c r="E196" i="5"/>
  <c r="H195" i="5"/>
  <c r="G195" i="5"/>
  <c r="E195" i="5"/>
  <c r="K194" i="5"/>
  <c r="H194" i="5"/>
  <c r="E194" i="5"/>
  <c r="G194" i="5" s="1"/>
  <c r="L194" i="5" s="1"/>
  <c r="E193" i="5"/>
  <c r="G193" i="5" s="1"/>
  <c r="G192" i="5"/>
  <c r="E192" i="5"/>
  <c r="H191" i="5"/>
  <c r="G191" i="5"/>
  <c r="E191" i="5"/>
  <c r="K190" i="5"/>
  <c r="H190" i="5"/>
  <c r="E190" i="5"/>
  <c r="G190" i="5" s="1"/>
  <c r="L190" i="5" s="1"/>
  <c r="E189" i="5"/>
  <c r="G189" i="5" s="1"/>
  <c r="G188" i="5"/>
  <c r="E188" i="5"/>
  <c r="H187" i="5"/>
  <c r="G187" i="5"/>
  <c r="E187" i="5"/>
  <c r="K186" i="5"/>
  <c r="H186" i="5"/>
  <c r="E186" i="5"/>
  <c r="G186" i="5" s="1"/>
  <c r="L186" i="5" s="1"/>
  <c r="E185" i="5"/>
  <c r="G185" i="5" s="1"/>
  <c r="G184" i="5"/>
  <c r="E184" i="5"/>
  <c r="H183" i="5"/>
  <c r="G183" i="5"/>
  <c r="E183" i="5"/>
  <c r="K182" i="5"/>
  <c r="H182" i="5"/>
  <c r="E182" i="5"/>
  <c r="G182" i="5" s="1"/>
  <c r="L182" i="5" s="1"/>
  <c r="E181" i="5"/>
  <c r="G181" i="5" s="1"/>
  <c r="G180" i="5"/>
  <c r="E180" i="5"/>
  <c r="H179" i="5"/>
  <c r="G179" i="5"/>
  <c r="E179" i="5"/>
  <c r="K178" i="5"/>
  <c r="H178" i="5"/>
  <c r="E178" i="5"/>
  <c r="G178" i="5" s="1"/>
  <c r="L178" i="5" s="1"/>
  <c r="E177" i="5"/>
  <c r="G177" i="5" s="1"/>
  <c r="G176" i="5"/>
  <c r="E176" i="5"/>
  <c r="H175" i="5"/>
  <c r="G175" i="5"/>
  <c r="E175" i="5"/>
  <c r="K174" i="5"/>
  <c r="H174" i="5"/>
  <c r="E174" i="5"/>
  <c r="G174" i="5" s="1"/>
  <c r="L174" i="5" s="1"/>
  <c r="E173" i="5"/>
  <c r="G173" i="5" s="1"/>
  <c r="G172" i="5"/>
  <c r="E172" i="5"/>
  <c r="H171" i="5"/>
  <c r="G171" i="5"/>
  <c r="E171" i="5"/>
  <c r="K170" i="5"/>
  <c r="H170" i="5"/>
  <c r="E170" i="5"/>
  <c r="G170" i="5" s="1"/>
  <c r="L170" i="5" s="1"/>
  <c r="E169" i="5"/>
  <c r="G169" i="5" s="1"/>
  <c r="G168" i="5"/>
  <c r="E168" i="5"/>
  <c r="H167" i="5"/>
  <c r="G167" i="5"/>
  <c r="E167" i="5"/>
  <c r="H166" i="5"/>
  <c r="E166" i="5"/>
  <c r="G166" i="5" s="1"/>
  <c r="K165" i="5"/>
  <c r="G165" i="5"/>
  <c r="H165" i="5" s="1"/>
  <c r="E165" i="5"/>
  <c r="L164" i="5"/>
  <c r="E164" i="5"/>
  <c r="G164" i="5" s="1"/>
  <c r="G163" i="5"/>
  <c r="E163" i="5"/>
  <c r="H162" i="5"/>
  <c r="E162" i="5"/>
  <c r="G162" i="5" s="1"/>
  <c r="K161" i="5"/>
  <c r="G161" i="5"/>
  <c r="H161" i="5" s="1"/>
  <c r="E161" i="5"/>
  <c r="L160" i="5"/>
  <c r="E160" i="5"/>
  <c r="G160" i="5" s="1"/>
  <c r="G159" i="5"/>
  <c r="E159" i="5"/>
  <c r="H158" i="5"/>
  <c r="E158" i="5"/>
  <c r="G158" i="5" s="1"/>
  <c r="K157" i="5"/>
  <c r="G157" i="5"/>
  <c r="H157" i="5" s="1"/>
  <c r="E157" i="5"/>
  <c r="E156" i="5"/>
  <c r="G156" i="5" s="1"/>
  <c r="L156" i="5" s="1"/>
  <c r="G155" i="5"/>
  <c r="E155" i="5"/>
  <c r="E154" i="5"/>
  <c r="G154" i="5" s="1"/>
  <c r="K153" i="5"/>
  <c r="G153" i="5"/>
  <c r="H153" i="5" s="1"/>
  <c r="E153" i="5"/>
  <c r="L152" i="5"/>
  <c r="E152" i="5"/>
  <c r="G152" i="5" s="1"/>
  <c r="G151" i="5"/>
  <c r="E151" i="5"/>
  <c r="H150" i="5"/>
  <c r="E150" i="5"/>
  <c r="G150" i="5" s="1"/>
  <c r="K149" i="5"/>
  <c r="G149" i="5"/>
  <c r="H149" i="5" s="1"/>
  <c r="E149" i="5"/>
  <c r="L148" i="5"/>
  <c r="E148" i="5"/>
  <c r="G148" i="5" s="1"/>
  <c r="G147" i="5"/>
  <c r="E147" i="5"/>
  <c r="H146" i="5"/>
  <c r="E146" i="5"/>
  <c r="G146" i="5" s="1"/>
  <c r="K145" i="5"/>
  <c r="G145" i="5"/>
  <c r="H145" i="5" s="1"/>
  <c r="E145" i="5"/>
  <c r="E144" i="5"/>
  <c r="G144" i="5" s="1"/>
  <c r="G143" i="5"/>
  <c r="E143" i="5"/>
  <c r="H142" i="5"/>
  <c r="E142" i="5"/>
  <c r="G142" i="5" s="1"/>
  <c r="K141" i="5"/>
  <c r="G141" i="5"/>
  <c r="H141" i="5" s="1"/>
  <c r="E141" i="5"/>
  <c r="E140" i="5"/>
  <c r="G140" i="5" s="1"/>
  <c r="G139" i="5"/>
  <c r="E139" i="5"/>
  <c r="E138" i="5"/>
  <c r="G138" i="5" s="1"/>
  <c r="H138" i="5" s="1"/>
  <c r="K137" i="5"/>
  <c r="G137" i="5"/>
  <c r="H137" i="5" s="1"/>
  <c r="E137" i="5"/>
  <c r="L136" i="5"/>
  <c r="E136" i="5"/>
  <c r="G136" i="5" s="1"/>
  <c r="G135" i="5"/>
  <c r="E135" i="5"/>
  <c r="H134" i="5"/>
  <c r="E134" i="5"/>
  <c r="G134" i="5" s="1"/>
  <c r="K133" i="5"/>
  <c r="G133" i="5"/>
  <c r="H133" i="5" s="1"/>
  <c r="E133" i="5"/>
  <c r="L132" i="5"/>
  <c r="E132" i="5"/>
  <c r="G132" i="5" s="1"/>
  <c r="G131" i="5"/>
  <c r="E131" i="5"/>
  <c r="H130" i="5"/>
  <c r="E130" i="5"/>
  <c r="G130" i="5" s="1"/>
  <c r="K129" i="5"/>
  <c r="G129" i="5"/>
  <c r="H129" i="5" s="1"/>
  <c r="E129" i="5"/>
  <c r="L128" i="5"/>
  <c r="E128" i="5"/>
  <c r="G128" i="5" s="1"/>
  <c r="G127" i="5"/>
  <c r="E127" i="5"/>
  <c r="H126" i="5"/>
  <c r="E126" i="5"/>
  <c r="G126" i="5" s="1"/>
  <c r="K125" i="5"/>
  <c r="G125" i="5"/>
  <c r="H125" i="5" s="1"/>
  <c r="E125" i="5"/>
  <c r="E124" i="5"/>
  <c r="G124" i="5" s="1"/>
  <c r="L124" i="5" s="1"/>
  <c r="G123" i="5"/>
  <c r="E123" i="5"/>
  <c r="E122" i="5"/>
  <c r="G122" i="5" s="1"/>
  <c r="K121" i="5"/>
  <c r="G121" i="5"/>
  <c r="H121" i="5" s="1"/>
  <c r="E121" i="5"/>
  <c r="L120" i="5"/>
  <c r="E120" i="5"/>
  <c r="G120" i="5" s="1"/>
  <c r="G119" i="5"/>
  <c r="E119" i="5"/>
  <c r="H118" i="5"/>
  <c r="E118" i="5"/>
  <c r="G118" i="5" s="1"/>
  <c r="K117" i="5"/>
  <c r="G117" i="5"/>
  <c r="H117" i="5" s="1"/>
  <c r="E117" i="5"/>
  <c r="L116" i="5"/>
  <c r="E116" i="5"/>
  <c r="G116" i="5" s="1"/>
  <c r="G115" i="5"/>
  <c r="E115" i="5"/>
  <c r="H114" i="5"/>
  <c r="E114" i="5"/>
  <c r="G114" i="5" s="1"/>
  <c r="K113" i="5"/>
  <c r="G113" i="5"/>
  <c r="H113" i="5" s="1"/>
  <c r="E113" i="5"/>
  <c r="L112" i="5"/>
  <c r="E112" i="5"/>
  <c r="G112" i="5" s="1"/>
  <c r="G111" i="5"/>
  <c r="E111" i="5"/>
  <c r="H110" i="5"/>
  <c r="E110" i="5"/>
  <c r="G110" i="5" s="1"/>
  <c r="K109" i="5"/>
  <c r="G109" i="5"/>
  <c r="H109" i="5" s="1"/>
  <c r="E109" i="5"/>
  <c r="E108" i="5"/>
  <c r="G108" i="5" s="1"/>
  <c r="L108" i="5" s="1"/>
  <c r="G107" i="5"/>
  <c r="E107" i="5"/>
  <c r="E106" i="5"/>
  <c r="G106" i="5" s="1"/>
  <c r="K105" i="5"/>
  <c r="G105" i="5"/>
  <c r="E105" i="5"/>
  <c r="L104" i="5"/>
  <c r="H104" i="5"/>
  <c r="E104" i="5"/>
  <c r="G104" i="5" s="1"/>
  <c r="K104" i="5" s="1"/>
  <c r="G103" i="5"/>
  <c r="E103" i="5"/>
  <c r="E102" i="5"/>
  <c r="G102" i="5" s="1"/>
  <c r="K102" i="5" s="1"/>
  <c r="K101" i="5"/>
  <c r="G101" i="5"/>
  <c r="E101" i="5"/>
  <c r="L100" i="5"/>
  <c r="H100" i="5"/>
  <c r="E100" i="5"/>
  <c r="G100" i="5" s="1"/>
  <c r="K100" i="5" s="1"/>
  <c r="G99" i="5"/>
  <c r="E99" i="5"/>
  <c r="E98" i="5"/>
  <c r="G98" i="5" s="1"/>
  <c r="K98" i="5" s="1"/>
  <c r="K97" i="5"/>
  <c r="G97" i="5"/>
  <c r="E97" i="5"/>
  <c r="L96" i="5"/>
  <c r="H96" i="5"/>
  <c r="E96" i="5"/>
  <c r="G96" i="5" s="1"/>
  <c r="K96" i="5" s="1"/>
  <c r="G95" i="5"/>
  <c r="K95" i="5" s="1"/>
  <c r="E95" i="5"/>
  <c r="E94" i="5"/>
  <c r="G94" i="5" s="1"/>
  <c r="K94" i="5" s="1"/>
  <c r="K93" i="5"/>
  <c r="G93" i="5"/>
  <c r="E93" i="5"/>
  <c r="L92" i="5"/>
  <c r="H92" i="5"/>
  <c r="E92" i="5"/>
  <c r="G92" i="5" s="1"/>
  <c r="K92" i="5" s="1"/>
  <c r="G91" i="5"/>
  <c r="K91" i="5" s="1"/>
  <c r="E91" i="5"/>
  <c r="E90" i="5"/>
  <c r="G90" i="5" s="1"/>
  <c r="K90" i="5" s="1"/>
  <c r="K89" i="5"/>
  <c r="G89" i="5"/>
  <c r="E89" i="5"/>
  <c r="L88" i="5"/>
  <c r="H88" i="5"/>
  <c r="E88" i="5"/>
  <c r="G88" i="5" s="1"/>
  <c r="K88" i="5" s="1"/>
  <c r="G87" i="5"/>
  <c r="K87" i="5" s="1"/>
  <c r="E87" i="5"/>
  <c r="E86" i="5"/>
  <c r="G86" i="5" s="1"/>
  <c r="K86" i="5" s="1"/>
  <c r="K85" i="5"/>
  <c r="G85" i="5"/>
  <c r="E85" i="5"/>
  <c r="L84" i="5"/>
  <c r="H84" i="5"/>
  <c r="E84" i="5"/>
  <c r="G84" i="5" s="1"/>
  <c r="K84" i="5" s="1"/>
  <c r="G83" i="5"/>
  <c r="K83" i="5" s="1"/>
  <c r="E83" i="5"/>
  <c r="E82" i="5"/>
  <c r="G82" i="5" s="1"/>
  <c r="K82" i="5" s="1"/>
  <c r="K81" i="5"/>
  <c r="G81" i="5"/>
  <c r="E81" i="5"/>
  <c r="L80" i="5"/>
  <c r="H80" i="5"/>
  <c r="E80" i="5"/>
  <c r="G80" i="5" s="1"/>
  <c r="K80" i="5" s="1"/>
  <c r="G79" i="5"/>
  <c r="E79" i="5"/>
  <c r="E78" i="5"/>
  <c r="G78" i="5" s="1"/>
  <c r="K78" i="5" s="1"/>
  <c r="K77" i="5"/>
  <c r="G77" i="5"/>
  <c r="E77" i="5"/>
  <c r="L76" i="5"/>
  <c r="H76" i="5"/>
  <c r="E76" i="5"/>
  <c r="G76" i="5" s="1"/>
  <c r="K76" i="5" s="1"/>
  <c r="G75" i="5"/>
  <c r="K75" i="5" s="1"/>
  <c r="E75" i="5"/>
  <c r="E74" i="5"/>
  <c r="G74" i="5" s="1"/>
  <c r="K74" i="5" s="1"/>
  <c r="K73" i="5"/>
  <c r="G73" i="5"/>
  <c r="E73" i="5"/>
  <c r="L72" i="5"/>
  <c r="H72" i="5"/>
  <c r="E72" i="5"/>
  <c r="G72" i="5" s="1"/>
  <c r="K72" i="5" s="1"/>
  <c r="G71" i="5"/>
  <c r="K71" i="5" s="1"/>
  <c r="E71" i="5"/>
  <c r="E70" i="5"/>
  <c r="G70" i="5" s="1"/>
  <c r="K70" i="5" s="1"/>
  <c r="K69" i="5"/>
  <c r="G69" i="5"/>
  <c r="E69" i="5"/>
  <c r="L68" i="5"/>
  <c r="H68" i="5"/>
  <c r="E68" i="5"/>
  <c r="G68" i="5" s="1"/>
  <c r="K68" i="5" s="1"/>
  <c r="G67" i="5"/>
  <c r="K67" i="5" s="1"/>
  <c r="E67" i="5"/>
  <c r="E66" i="5"/>
  <c r="G66" i="5" s="1"/>
  <c r="K66" i="5" s="1"/>
  <c r="G65" i="5"/>
  <c r="E65" i="5"/>
  <c r="L64" i="5"/>
  <c r="E64" i="5"/>
  <c r="G64" i="5" s="1"/>
  <c r="K64" i="5" s="1"/>
  <c r="G63" i="5"/>
  <c r="K63" i="5" s="1"/>
  <c r="E63" i="5"/>
  <c r="E62" i="5"/>
  <c r="G62" i="5" s="1"/>
  <c r="K62" i="5" s="1"/>
  <c r="G61" i="5"/>
  <c r="E61" i="5"/>
  <c r="L60" i="5"/>
  <c r="E60" i="5"/>
  <c r="G60" i="5" s="1"/>
  <c r="K60" i="5" s="1"/>
  <c r="G59" i="5"/>
  <c r="E59" i="5"/>
  <c r="E58" i="5"/>
  <c r="G58" i="5" s="1"/>
  <c r="K58" i="5" s="1"/>
  <c r="G57" i="5"/>
  <c r="E57" i="5"/>
  <c r="E56" i="5"/>
  <c r="G56" i="5" s="1"/>
  <c r="G55" i="5"/>
  <c r="L55" i="5" s="1"/>
  <c r="E55" i="5"/>
  <c r="E54" i="5"/>
  <c r="G54" i="5" s="1"/>
  <c r="K53" i="5"/>
  <c r="G53" i="5"/>
  <c r="H53" i="5" s="1"/>
  <c r="E53" i="5"/>
  <c r="E52" i="5"/>
  <c r="G52" i="5" s="1"/>
  <c r="G51" i="5"/>
  <c r="L51" i="5" s="1"/>
  <c r="E51" i="5"/>
  <c r="E50" i="5"/>
  <c r="G50" i="5" s="1"/>
  <c r="K49" i="5"/>
  <c r="G49" i="5"/>
  <c r="H49" i="5" s="1"/>
  <c r="E49" i="5"/>
  <c r="E48" i="5"/>
  <c r="G48" i="5" s="1"/>
  <c r="G47" i="5"/>
  <c r="L47" i="5" s="1"/>
  <c r="E47" i="5"/>
  <c r="E46" i="5"/>
  <c r="G46" i="5" s="1"/>
  <c r="K45" i="5"/>
  <c r="G45" i="5"/>
  <c r="H45" i="5" s="1"/>
  <c r="E45" i="5"/>
  <c r="E44" i="5"/>
  <c r="G44" i="5" s="1"/>
  <c r="G43" i="5"/>
  <c r="L43" i="5" s="1"/>
  <c r="E43" i="5"/>
  <c r="H42" i="5"/>
  <c r="G42" i="5"/>
  <c r="L42" i="5" s="1"/>
  <c r="E42" i="5"/>
  <c r="K41" i="5"/>
  <c r="H41" i="5"/>
  <c r="G41" i="5"/>
  <c r="L41" i="5" s="1"/>
  <c r="E41" i="5"/>
  <c r="E40" i="5"/>
  <c r="G40" i="5" s="1"/>
  <c r="G39" i="5"/>
  <c r="L39" i="5" s="1"/>
  <c r="E39" i="5"/>
  <c r="H38" i="5"/>
  <c r="G38" i="5"/>
  <c r="L38" i="5" s="1"/>
  <c r="E38" i="5"/>
  <c r="K37" i="5"/>
  <c r="H37" i="5"/>
  <c r="G37" i="5"/>
  <c r="L37" i="5" s="1"/>
  <c r="E37" i="5"/>
  <c r="E36" i="5"/>
  <c r="G36" i="5" s="1"/>
  <c r="G35" i="5"/>
  <c r="L35" i="5" s="1"/>
  <c r="E35" i="5"/>
  <c r="H34" i="5"/>
  <c r="G34" i="5"/>
  <c r="L34" i="5" s="1"/>
  <c r="E34" i="5"/>
  <c r="K33" i="5"/>
  <c r="H33" i="5"/>
  <c r="G33" i="5"/>
  <c r="L33" i="5" s="1"/>
  <c r="E33" i="5"/>
  <c r="E32" i="5"/>
  <c r="G32" i="5" s="1"/>
  <c r="G31" i="5"/>
  <c r="L31" i="5" s="1"/>
  <c r="E31" i="5"/>
  <c r="H30" i="5"/>
  <c r="G30" i="5"/>
  <c r="L30" i="5" s="1"/>
  <c r="E30" i="5"/>
  <c r="K29" i="5"/>
  <c r="H29" i="5"/>
  <c r="G29" i="5"/>
  <c r="L29" i="5" s="1"/>
  <c r="E29" i="5"/>
  <c r="E28" i="5"/>
  <c r="G28" i="5" s="1"/>
  <c r="G27" i="5"/>
  <c r="L27" i="5" s="1"/>
  <c r="E27" i="5"/>
  <c r="H26" i="5"/>
  <c r="G26" i="5"/>
  <c r="L26" i="5" s="1"/>
  <c r="E26" i="5"/>
  <c r="K25" i="5"/>
  <c r="H25" i="5"/>
  <c r="G25" i="5"/>
  <c r="L25" i="5" s="1"/>
  <c r="E25" i="5"/>
  <c r="E24" i="5"/>
  <c r="G24" i="5" s="1"/>
  <c r="G23" i="5"/>
  <c r="L23" i="5" s="1"/>
  <c r="E23" i="5"/>
  <c r="H22" i="5"/>
  <c r="G22" i="5"/>
  <c r="L22" i="5" s="1"/>
  <c r="E22" i="5"/>
  <c r="K21" i="5"/>
  <c r="H21" i="5"/>
  <c r="G21" i="5"/>
  <c r="L21" i="5" s="1"/>
  <c r="E21" i="5"/>
  <c r="E20" i="5"/>
  <c r="G20" i="5" s="1"/>
  <c r="G19" i="5"/>
  <c r="L19" i="5" s="1"/>
  <c r="E19" i="5"/>
  <c r="H18" i="5"/>
  <c r="G18" i="5"/>
  <c r="L18" i="5" s="1"/>
  <c r="E18" i="5"/>
  <c r="K17" i="5"/>
  <c r="H17" i="5"/>
  <c r="G17" i="5"/>
  <c r="L17" i="5" s="1"/>
  <c r="E17" i="5"/>
  <c r="E16" i="5"/>
  <c r="G16" i="5" s="1"/>
  <c r="G15" i="5"/>
  <c r="L15" i="5" s="1"/>
  <c r="E15" i="5"/>
  <c r="H14" i="5"/>
  <c r="G14" i="5"/>
  <c r="L14" i="5" s="1"/>
  <c r="E14" i="5"/>
  <c r="K13" i="5"/>
  <c r="H13" i="5"/>
  <c r="G13" i="5"/>
  <c r="L13" i="5" s="1"/>
  <c r="E13" i="5"/>
  <c r="E12" i="5"/>
  <c r="G12" i="5" s="1"/>
  <c r="G11" i="5"/>
  <c r="L11" i="5" s="1"/>
  <c r="E11" i="5"/>
  <c r="H10" i="5"/>
  <c r="G10" i="5"/>
  <c r="L10" i="5" s="1"/>
  <c r="E10" i="5"/>
  <c r="K9" i="5"/>
  <c r="H9" i="5"/>
  <c r="G9" i="5"/>
  <c r="L9" i="5" s="1"/>
  <c r="E9" i="5"/>
  <c r="E8" i="5"/>
  <c r="G8" i="5" s="1"/>
  <c r="G7" i="5"/>
  <c r="L7" i="5" s="1"/>
  <c r="E7" i="5"/>
  <c r="H6" i="5"/>
  <c r="G6" i="5"/>
  <c r="L6" i="5" s="1"/>
  <c r="E6" i="5"/>
  <c r="K5" i="5"/>
  <c r="H5" i="5"/>
  <c r="G5" i="5"/>
  <c r="L5" i="5" s="1"/>
  <c r="E5" i="5"/>
  <c r="K9" i="4"/>
  <c r="J5" i="4"/>
  <c r="E44" i="3"/>
  <c r="E46" i="3" s="1"/>
  <c r="D44" i="3"/>
  <c r="F43" i="3"/>
  <c r="F42" i="3"/>
  <c r="F41" i="3"/>
  <c r="F40" i="3"/>
  <c r="F39" i="3"/>
  <c r="F32" i="3"/>
  <c r="F31" i="3"/>
  <c r="F30" i="3"/>
  <c r="F29" i="3"/>
  <c r="F28" i="3"/>
  <c r="C18" i="3"/>
  <c r="C17" i="3"/>
  <c r="D16" i="3"/>
  <c r="D15" i="3"/>
  <c r="D14" i="3"/>
  <c r="D13" i="3"/>
  <c r="D12" i="3"/>
  <c r="D11" i="3"/>
  <c r="D10" i="3"/>
  <c r="D9" i="3"/>
  <c r="D8" i="3"/>
  <c r="O29" i="1" l="1"/>
  <c r="O30" i="1"/>
  <c r="K12" i="5"/>
  <c r="H12" i="5"/>
  <c r="L12" i="5"/>
  <c r="K36" i="5"/>
  <c r="H36" i="5"/>
  <c r="L36" i="5"/>
  <c r="H46" i="5"/>
  <c r="L46" i="5"/>
  <c r="K46" i="5"/>
  <c r="K56" i="5"/>
  <c r="H56" i="5"/>
  <c r="L56" i="5"/>
  <c r="K20" i="5"/>
  <c r="H20" i="5"/>
  <c r="L20" i="5"/>
  <c r="K28" i="5"/>
  <c r="H28" i="5"/>
  <c r="L28" i="5"/>
  <c r="K44" i="5"/>
  <c r="H44" i="5"/>
  <c r="L44" i="5"/>
  <c r="K8" i="5"/>
  <c r="H8" i="5"/>
  <c r="H494" i="5" s="1"/>
  <c r="H495" i="5" s="1"/>
  <c r="H497" i="5" s="1"/>
  <c r="L8" i="5"/>
  <c r="K16" i="5"/>
  <c r="H16" i="5"/>
  <c r="L16" i="5"/>
  <c r="L494" i="5" s="1"/>
  <c r="K24" i="5"/>
  <c r="H24" i="5"/>
  <c r="L24" i="5"/>
  <c r="K32" i="5"/>
  <c r="H32" i="5"/>
  <c r="L32" i="5"/>
  <c r="K40" i="5"/>
  <c r="H40" i="5"/>
  <c r="L40" i="5"/>
  <c r="K52" i="5"/>
  <c r="H52" i="5"/>
  <c r="L52" i="5"/>
  <c r="L54" i="5"/>
  <c r="H54" i="5"/>
  <c r="K54" i="5"/>
  <c r="K48" i="5"/>
  <c r="H48" i="5"/>
  <c r="L48" i="5"/>
  <c r="L50" i="5"/>
  <c r="K50" i="5"/>
  <c r="H50" i="5"/>
  <c r="L59" i="5"/>
  <c r="H59" i="5"/>
  <c r="L79" i="5"/>
  <c r="H79" i="5"/>
  <c r="L99" i="5"/>
  <c r="H99" i="5"/>
  <c r="L103" i="5"/>
  <c r="H103" i="5"/>
  <c r="L106" i="5"/>
  <c r="K106" i="5"/>
  <c r="L111" i="5"/>
  <c r="K111" i="5"/>
  <c r="H111" i="5"/>
  <c r="L122" i="5"/>
  <c r="K122" i="5"/>
  <c r="K140" i="5"/>
  <c r="H140" i="5"/>
  <c r="L143" i="5"/>
  <c r="K143" i="5"/>
  <c r="H143" i="5"/>
  <c r="L154" i="5"/>
  <c r="K154" i="5"/>
  <c r="L159" i="5"/>
  <c r="K159" i="5"/>
  <c r="H159" i="5"/>
  <c r="H177" i="5"/>
  <c r="L177" i="5"/>
  <c r="K177" i="5"/>
  <c r="H209" i="5"/>
  <c r="L209" i="5"/>
  <c r="K209" i="5"/>
  <c r="K232" i="5"/>
  <c r="H232" i="5"/>
  <c r="L234" i="5"/>
  <c r="K234" i="5"/>
  <c r="H234" i="5"/>
  <c r="K248" i="5"/>
  <c r="H248" i="5"/>
  <c r="L263" i="5"/>
  <c r="K263" i="5"/>
  <c r="H263" i="5"/>
  <c r="L271" i="5"/>
  <c r="K271" i="5"/>
  <c r="H271" i="5"/>
  <c r="K280" i="5"/>
  <c r="H280" i="5"/>
  <c r="L280" i="5"/>
  <c r="K319" i="5"/>
  <c r="H319" i="5"/>
  <c r="L319" i="5"/>
  <c r="H336" i="5"/>
  <c r="L336" i="5"/>
  <c r="K336" i="5"/>
  <c r="L341" i="5"/>
  <c r="K341" i="5"/>
  <c r="H341" i="5"/>
  <c r="H434" i="5"/>
  <c r="K434" i="5"/>
  <c r="L434" i="5"/>
  <c r="H450" i="5"/>
  <c r="K450" i="5"/>
  <c r="L450" i="5"/>
  <c r="H462" i="5"/>
  <c r="K462" i="5"/>
  <c r="L462" i="5"/>
  <c r="H467" i="5"/>
  <c r="L467" i="5"/>
  <c r="K467" i="5"/>
  <c r="H478" i="5"/>
  <c r="K478" i="5"/>
  <c r="L478" i="5"/>
  <c r="H483" i="5"/>
  <c r="L483" i="5"/>
  <c r="K483" i="5"/>
  <c r="H487" i="5"/>
  <c r="L487" i="5"/>
  <c r="K487" i="5"/>
  <c r="H491" i="5"/>
  <c r="L491" i="5"/>
  <c r="K491" i="5"/>
  <c r="K6" i="5"/>
  <c r="K495" i="5" s="1"/>
  <c r="H7" i="5"/>
  <c r="K10" i="5"/>
  <c r="H11" i="5"/>
  <c r="K14" i="5"/>
  <c r="H15" i="5"/>
  <c r="K18" i="5"/>
  <c r="H19" i="5"/>
  <c r="K22" i="5"/>
  <c r="H23" i="5"/>
  <c r="K26" i="5"/>
  <c r="H27" i="5"/>
  <c r="K30" i="5"/>
  <c r="H31" i="5"/>
  <c r="K34" i="5"/>
  <c r="H35" i="5"/>
  <c r="K38" i="5"/>
  <c r="H39" i="5"/>
  <c r="K42" i="5"/>
  <c r="H43" i="5"/>
  <c r="L45" i="5"/>
  <c r="H47" i="5"/>
  <c r="L49" i="5"/>
  <c r="H51" i="5"/>
  <c r="L53" i="5"/>
  <c r="H55" i="5"/>
  <c r="H58" i="5"/>
  <c r="K59" i="5"/>
  <c r="H62" i="5"/>
  <c r="H66" i="5"/>
  <c r="H70" i="5"/>
  <c r="H74" i="5"/>
  <c r="H78" i="5"/>
  <c r="K79" i="5"/>
  <c r="H82" i="5"/>
  <c r="H86" i="5"/>
  <c r="H90" i="5"/>
  <c r="H94" i="5"/>
  <c r="H98" i="5"/>
  <c r="K99" i="5"/>
  <c r="H102" i="5"/>
  <c r="K103" i="5"/>
  <c r="H106" i="5"/>
  <c r="L110" i="5"/>
  <c r="K110" i="5"/>
  <c r="K112" i="5"/>
  <c r="H112" i="5"/>
  <c r="L115" i="5"/>
  <c r="K115" i="5"/>
  <c r="H115" i="5"/>
  <c r="H122" i="5"/>
  <c r="L126" i="5"/>
  <c r="K126" i="5"/>
  <c r="K128" i="5"/>
  <c r="H128" i="5"/>
  <c r="L131" i="5"/>
  <c r="K131" i="5"/>
  <c r="H131" i="5"/>
  <c r="L140" i="5"/>
  <c r="L142" i="5"/>
  <c r="K142" i="5"/>
  <c r="K144" i="5"/>
  <c r="H144" i="5"/>
  <c r="L147" i="5"/>
  <c r="K147" i="5"/>
  <c r="H147" i="5"/>
  <c r="H154" i="5"/>
  <c r="L158" i="5"/>
  <c r="K158" i="5"/>
  <c r="K160" i="5"/>
  <c r="H160" i="5"/>
  <c r="L163" i="5"/>
  <c r="K163" i="5"/>
  <c r="H163" i="5"/>
  <c r="H181" i="5"/>
  <c r="L181" i="5"/>
  <c r="K181" i="5"/>
  <c r="H197" i="5"/>
  <c r="L197" i="5"/>
  <c r="K197" i="5"/>
  <c r="H213" i="5"/>
  <c r="L213" i="5"/>
  <c r="K213" i="5"/>
  <c r="L223" i="5"/>
  <c r="K223" i="5"/>
  <c r="H223" i="5"/>
  <c r="K228" i="5"/>
  <c r="H228" i="5"/>
  <c r="L230" i="5"/>
  <c r="K230" i="5"/>
  <c r="H230" i="5"/>
  <c r="L232" i="5"/>
  <c r="L239" i="5"/>
  <c r="K239" i="5"/>
  <c r="H239" i="5"/>
  <c r="K244" i="5"/>
  <c r="H244" i="5"/>
  <c r="L246" i="5"/>
  <c r="K246" i="5"/>
  <c r="H246" i="5"/>
  <c r="L248" i="5"/>
  <c r="L255" i="5"/>
  <c r="K255" i="5"/>
  <c r="H255" i="5"/>
  <c r="K260" i="5"/>
  <c r="H260" i="5"/>
  <c r="K264" i="5"/>
  <c r="H264" i="5"/>
  <c r="K268" i="5"/>
  <c r="H268" i="5"/>
  <c r="K272" i="5"/>
  <c r="H272" i="5"/>
  <c r="K296" i="5"/>
  <c r="H296" i="5"/>
  <c r="L296" i="5"/>
  <c r="L63" i="5"/>
  <c r="H63" i="5"/>
  <c r="L71" i="5"/>
  <c r="H71" i="5"/>
  <c r="L75" i="5"/>
  <c r="H75" i="5"/>
  <c r="L83" i="5"/>
  <c r="H83" i="5"/>
  <c r="L91" i="5"/>
  <c r="H91" i="5"/>
  <c r="L95" i="5"/>
  <c r="H95" i="5"/>
  <c r="K124" i="5"/>
  <c r="H124" i="5"/>
  <c r="L127" i="5"/>
  <c r="K127" i="5"/>
  <c r="H127" i="5"/>
  <c r="L138" i="5"/>
  <c r="K138" i="5"/>
  <c r="H193" i="5"/>
  <c r="L193" i="5"/>
  <c r="K193" i="5"/>
  <c r="L227" i="5"/>
  <c r="K227" i="5"/>
  <c r="H227" i="5"/>
  <c r="L243" i="5"/>
  <c r="K243" i="5"/>
  <c r="H243" i="5"/>
  <c r="L250" i="5"/>
  <c r="K250" i="5"/>
  <c r="H250" i="5"/>
  <c r="L259" i="5"/>
  <c r="K259" i="5"/>
  <c r="H259" i="5"/>
  <c r="L267" i="5"/>
  <c r="K267" i="5"/>
  <c r="H267" i="5"/>
  <c r="K300" i="5"/>
  <c r="H300" i="5"/>
  <c r="L300" i="5"/>
  <c r="K331" i="5"/>
  <c r="H331" i="5"/>
  <c r="L331" i="5"/>
  <c r="H345" i="5"/>
  <c r="L345" i="5"/>
  <c r="K345" i="5"/>
  <c r="K7" i="5"/>
  <c r="K11" i="5"/>
  <c r="K15" i="5"/>
  <c r="K19" i="5"/>
  <c r="K23" i="5"/>
  <c r="K27" i="5"/>
  <c r="K31" i="5"/>
  <c r="K35" i="5"/>
  <c r="K39" i="5"/>
  <c r="K43" i="5"/>
  <c r="K47" i="5"/>
  <c r="K51" i="5"/>
  <c r="K55" i="5"/>
  <c r="H57" i="5"/>
  <c r="L57" i="5"/>
  <c r="L58" i="5"/>
  <c r="H61" i="5"/>
  <c r="L61" i="5"/>
  <c r="L62" i="5"/>
  <c r="H65" i="5"/>
  <c r="L65" i="5"/>
  <c r="L66" i="5"/>
  <c r="H69" i="5"/>
  <c r="L69" i="5"/>
  <c r="L70" i="5"/>
  <c r="H73" i="5"/>
  <c r="L73" i="5"/>
  <c r="L74" i="5"/>
  <c r="H77" i="5"/>
  <c r="L77" i="5"/>
  <c r="L78" i="5"/>
  <c r="H81" i="5"/>
  <c r="L81" i="5"/>
  <c r="L82" i="5"/>
  <c r="H85" i="5"/>
  <c r="L85" i="5"/>
  <c r="L86" i="5"/>
  <c r="H89" i="5"/>
  <c r="L89" i="5"/>
  <c r="L90" i="5"/>
  <c r="H93" i="5"/>
  <c r="L93" i="5"/>
  <c r="L94" i="5"/>
  <c r="H97" i="5"/>
  <c r="L97" i="5"/>
  <c r="L98" i="5"/>
  <c r="H101" i="5"/>
  <c r="L101" i="5"/>
  <c r="L102" i="5"/>
  <c r="H105" i="5"/>
  <c r="L105" i="5"/>
  <c r="L114" i="5"/>
  <c r="K114" i="5"/>
  <c r="K116" i="5"/>
  <c r="H116" i="5"/>
  <c r="L119" i="5"/>
  <c r="K119" i="5"/>
  <c r="H119" i="5"/>
  <c r="L130" i="5"/>
  <c r="K130" i="5"/>
  <c r="K132" i="5"/>
  <c r="H132" i="5"/>
  <c r="L135" i="5"/>
  <c r="K135" i="5"/>
  <c r="H135" i="5"/>
  <c r="L144" i="5"/>
  <c r="L146" i="5"/>
  <c r="K146" i="5"/>
  <c r="K148" i="5"/>
  <c r="H148" i="5"/>
  <c r="L151" i="5"/>
  <c r="K151" i="5"/>
  <c r="H151" i="5"/>
  <c r="L162" i="5"/>
  <c r="K162" i="5"/>
  <c r="K164" i="5"/>
  <c r="H164" i="5"/>
  <c r="H169" i="5"/>
  <c r="L169" i="5"/>
  <c r="K169" i="5"/>
  <c r="H185" i="5"/>
  <c r="L185" i="5"/>
  <c r="K185" i="5"/>
  <c r="H201" i="5"/>
  <c r="L201" i="5"/>
  <c r="K201" i="5"/>
  <c r="H217" i="5"/>
  <c r="L217" i="5"/>
  <c r="K217" i="5"/>
  <c r="K224" i="5"/>
  <c r="H224" i="5"/>
  <c r="L226" i="5"/>
  <c r="K226" i="5"/>
  <c r="H226" i="5"/>
  <c r="L235" i="5"/>
  <c r="K235" i="5"/>
  <c r="H235" i="5"/>
  <c r="K240" i="5"/>
  <c r="H240" i="5"/>
  <c r="L242" i="5"/>
  <c r="K242" i="5"/>
  <c r="H242" i="5"/>
  <c r="L251" i="5"/>
  <c r="K251" i="5"/>
  <c r="H251" i="5"/>
  <c r="K256" i="5"/>
  <c r="H256" i="5"/>
  <c r="L258" i="5"/>
  <c r="K258" i="5"/>
  <c r="H258" i="5"/>
  <c r="L262" i="5"/>
  <c r="K262" i="5"/>
  <c r="H262" i="5"/>
  <c r="L266" i="5"/>
  <c r="K266" i="5"/>
  <c r="H266" i="5"/>
  <c r="L270" i="5"/>
  <c r="K270" i="5"/>
  <c r="H270" i="5"/>
  <c r="K276" i="5"/>
  <c r="H276" i="5"/>
  <c r="L276" i="5"/>
  <c r="K284" i="5"/>
  <c r="H284" i="5"/>
  <c r="L284" i="5"/>
  <c r="K292" i="5"/>
  <c r="H292" i="5"/>
  <c r="L292" i="5"/>
  <c r="K308" i="5"/>
  <c r="H308" i="5"/>
  <c r="L308" i="5"/>
  <c r="K312" i="5"/>
  <c r="H312" i="5"/>
  <c r="L312" i="5"/>
  <c r="K316" i="5"/>
  <c r="H316" i="5"/>
  <c r="L316" i="5"/>
  <c r="L67" i="5"/>
  <c r="H67" i="5"/>
  <c r="L87" i="5"/>
  <c r="H87" i="5"/>
  <c r="K108" i="5"/>
  <c r="H108" i="5"/>
  <c r="K156" i="5"/>
  <c r="H156" i="5"/>
  <c r="K57" i="5"/>
  <c r="H60" i="5"/>
  <c r="K61" i="5"/>
  <c r="H64" i="5"/>
  <c r="K65" i="5"/>
  <c r="L107" i="5"/>
  <c r="K107" i="5"/>
  <c r="H107" i="5"/>
  <c r="L118" i="5"/>
  <c r="K118" i="5"/>
  <c r="K120" i="5"/>
  <c r="H120" i="5"/>
  <c r="L123" i="5"/>
  <c r="K123" i="5"/>
  <c r="H123" i="5"/>
  <c r="L134" i="5"/>
  <c r="K134" i="5"/>
  <c r="K136" i="5"/>
  <c r="H136" i="5"/>
  <c r="L139" i="5"/>
  <c r="K139" i="5"/>
  <c r="H139" i="5"/>
  <c r="L150" i="5"/>
  <c r="K150" i="5"/>
  <c r="K152" i="5"/>
  <c r="H152" i="5"/>
  <c r="L155" i="5"/>
  <c r="K155" i="5"/>
  <c r="H155" i="5"/>
  <c r="L166" i="5"/>
  <c r="K166" i="5"/>
  <c r="H173" i="5"/>
  <c r="L173" i="5"/>
  <c r="K173" i="5"/>
  <c r="H189" i="5"/>
  <c r="L189" i="5"/>
  <c r="K189" i="5"/>
  <c r="H205" i="5"/>
  <c r="L205" i="5"/>
  <c r="K205" i="5"/>
  <c r="H221" i="5"/>
  <c r="L221" i="5"/>
  <c r="K221" i="5"/>
  <c r="L231" i="5"/>
  <c r="K231" i="5"/>
  <c r="H231" i="5"/>
  <c r="K236" i="5"/>
  <c r="H236" i="5"/>
  <c r="L238" i="5"/>
  <c r="K238" i="5"/>
  <c r="H238" i="5"/>
  <c r="L247" i="5"/>
  <c r="K247" i="5"/>
  <c r="H247" i="5"/>
  <c r="K252" i="5"/>
  <c r="H252" i="5"/>
  <c r="L254" i="5"/>
  <c r="K254" i="5"/>
  <c r="H254" i="5"/>
  <c r="L256" i="5"/>
  <c r="K288" i="5"/>
  <c r="H288" i="5"/>
  <c r="L288" i="5"/>
  <c r="K304" i="5"/>
  <c r="H304" i="5"/>
  <c r="L304" i="5"/>
  <c r="L109" i="5"/>
  <c r="L113" i="5"/>
  <c r="L117" i="5"/>
  <c r="L121" i="5"/>
  <c r="L125" i="5"/>
  <c r="L129" i="5"/>
  <c r="L133" i="5"/>
  <c r="L137" i="5"/>
  <c r="L141" i="5"/>
  <c r="L145" i="5"/>
  <c r="L149" i="5"/>
  <c r="L153" i="5"/>
  <c r="L157" i="5"/>
  <c r="L161" i="5"/>
  <c r="L165" i="5"/>
  <c r="L275" i="5"/>
  <c r="K275" i="5"/>
  <c r="L279" i="5"/>
  <c r="K279" i="5"/>
  <c r="L283" i="5"/>
  <c r="K283" i="5"/>
  <c r="L289" i="5"/>
  <c r="L293" i="5"/>
  <c r="L297" i="5"/>
  <c r="L301" i="5"/>
  <c r="L305" i="5"/>
  <c r="K327" i="5"/>
  <c r="H327" i="5"/>
  <c r="L327" i="5"/>
  <c r="H332" i="5"/>
  <c r="L332" i="5"/>
  <c r="K332" i="5"/>
  <c r="K376" i="5"/>
  <c r="H376" i="5"/>
  <c r="L376" i="5"/>
  <c r="H393" i="5"/>
  <c r="L393" i="5"/>
  <c r="K393" i="5"/>
  <c r="K408" i="5"/>
  <c r="H408" i="5"/>
  <c r="L408" i="5"/>
  <c r="K168" i="5"/>
  <c r="H168" i="5"/>
  <c r="K172" i="5"/>
  <c r="H172" i="5"/>
  <c r="K176" i="5"/>
  <c r="H176" i="5"/>
  <c r="K180" i="5"/>
  <c r="H180" i="5"/>
  <c r="K184" i="5"/>
  <c r="H184" i="5"/>
  <c r="K188" i="5"/>
  <c r="H188" i="5"/>
  <c r="K192" i="5"/>
  <c r="H192" i="5"/>
  <c r="K196" i="5"/>
  <c r="H196" i="5"/>
  <c r="K200" i="5"/>
  <c r="H200" i="5"/>
  <c r="K204" i="5"/>
  <c r="H204" i="5"/>
  <c r="K208" i="5"/>
  <c r="H208" i="5"/>
  <c r="K212" i="5"/>
  <c r="H212" i="5"/>
  <c r="K216" i="5"/>
  <c r="H216" i="5"/>
  <c r="K220" i="5"/>
  <c r="H220" i="5"/>
  <c r="L287" i="5"/>
  <c r="K287" i="5"/>
  <c r="L291" i="5"/>
  <c r="K291" i="5"/>
  <c r="L295" i="5"/>
  <c r="K295" i="5"/>
  <c r="L299" i="5"/>
  <c r="K299" i="5"/>
  <c r="L303" i="5"/>
  <c r="K303" i="5"/>
  <c r="L307" i="5"/>
  <c r="K307" i="5"/>
  <c r="L311" i="5"/>
  <c r="K311" i="5"/>
  <c r="L315" i="5"/>
  <c r="K315" i="5"/>
  <c r="H328" i="5"/>
  <c r="L328" i="5"/>
  <c r="K328" i="5"/>
  <c r="L338" i="5"/>
  <c r="K338" i="5"/>
  <c r="H338" i="5"/>
  <c r="L342" i="5"/>
  <c r="K342" i="5"/>
  <c r="H342" i="5"/>
  <c r="K360" i="5"/>
  <c r="H360" i="5"/>
  <c r="L360" i="5"/>
  <c r="L167" i="5"/>
  <c r="K167" i="5"/>
  <c r="L168" i="5"/>
  <c r="L171" i="5"/>
  <c r="K171" i="5"/>
  <c r="L172" i="5"/>
  <c r="L175" i="5"/>
  <c r="K175" i="5"/>
  <c r="L176" i="5"/>
  <c r="L179" i="5"/>
  <c r="K179" i="5"/>
  <c r="L180" i="5"/>
  <c r="L183" i="5"/>
  <c r="K183" i="5"/>
  <c r="L184" i="5"/>
  <c r="L187" i="5"/>
  <c r="K187" i="5"/>
  <c r="L188" i="5"/>
  <c r="L191" i="5"/>
  <c r="K191" i="5"/>
  <c r="L192" i="5"/>
  <c r="L195" i="5"/>
  <c r="K195" i="5"/>
  <c r="L196" i="5"/>
  <c r="L199" i="5"/>
  <c r="K199" i="5"/>
  <c r="L200" i="5"/>
  <c r="L203" i="5"/>
  <c r="K203" i="5"/>
  <c r="L204" i="5"/>
  <c r="L207" i="5"/>
  <c r="K207" i="5"/>
  <c r="L208" i="5"/>
  <c r="L211" i="5"/>
  <c r="K211" i="5"/>
  <c r="L212" i="5"/>
  <c r="L215" i="5"/>
  <c r="K215" i="5"/>
  <c r="L216" i="5"/>
  <c r="L219" i="5"/>
  <c r="K219" i="5"/>
  <c r="L220" i="5"/>
  <c r="L225" i="5"/>
  <c r="L229" i="5"/>
  <c r="L233" i="5"/>
  <c r="L237" i="5"/>
  <c r="L241" i="5"/>
  <c r="L245" i="5"/>
  <c r="L249" i="5"/>
  <c r="L253" i="5"/>
  <c r="L257" i="5"/>
  <c r="K277" i="5"/>
  <c r="K281" i="5"/>
  <c r="K285" i="5"/>
  <c r="H287" i="5"/>
  <c r="H290" i="5"/>
  <c r="H291" i="5"/>
  <c r="H294" i="5"/>
  <c r="H295" i="5"/>
  <c r="H298" i="5"/>
  <c r="H299" i="5"/>
  <c r="H302" i="5"/>
  <c r="H303" i="5"/>
  <c r="H306" i="5"/>
  <c r="H307" i="5"/>
  <c r="H310" i="5"/>
  <c r="H311" i="5"/>
  <c r="H314" i="5"/>
  <c r="H315" i="5"/>
  <c r="L317" i="5"/>
  <c r="H317" i="5"/>
  <c r="K323" i="5"/>
  <c r="H323" i="5"/>
  <c r="L323" i="5"/>
  <c r="K335" i="5"/>
  <c r="H335" i="5"/>
  <c r="L335" i="5"/>
  <c r="L355" i="5"/>
  <c r="K355" i="5"/>
  <c r="H355" i="5"/>
  <c r="L318" i="5"/>
  <c r="K318" i="5"/>
  <c r="L324" i="5"/>
  <c r="K329" i="5"/>
  <c r="K333" i="5"/>
  <c r="L351" i="5"/>
  <c r="K351" i="5"/>
  <c r="H351" i="5"/>
  <c r="K356" i="5"/>
  <c r="H356" i="5"/>
  <c r="K380" i="5"/>
  <c r="H380" i="5"/>
  <c r="L380" i="5"/>
  <c r="H397" i="5"/>
  <c r="L397" i="5"/>
  <c r="K397" i="5"/>
  <c r="H401" i="5"/>
  <c r="L401" i="5"/>
  <c r="K401" i="5"/>
  <c r="H405" i="5"/>
  <c r="L405" i="5"/>
  <c r="K405" i="5"/>
  <c r="H410" i="5"/>
  <c r="K410" i="5"/>
  <c r="L410" i="5"/>
  <c r="H418" i="5"/>
  <c r="K418" i="5"/>
  <c r="L418" i="5"/>
  <c r="H430" i="5"/>
  <c r="K430" i="5"/>
  <c r="L430" i="5"/>
  <c r="H446" i="5"/>
  <c r="K446" i="5"/>
  <c r="L446" i="5"/>
  <c r="H458" i="5"/>
  <c r="K458" i="5"/>
  <c r="L458" i="5"/>
  <c r="H318" i="5"/>
  <c r="L322" i="5"/>
  <c r="K322" i="5"/>
  <c r="K340" i="5"/>
  <c r="K344" i="5"/>
  <c r="L347" i="5"/>
  <c r="K347" i="5"/>
  <c r="H347" i="5"/>
  <c r="K352" i="5"/>
  <c r="H352" i="5"/>
  <c r="L356" i="5"/>
  <c r="L363" i="5"/>
  <c r="K363" i="5"/>
  <c r="H363" i="5"/>
  <c r="K384" i="5"/>
  <c r="H384" i="5"/>
  <c r="L384" i="5"/>
  <c r="H426" i="5"/>
  <c r="K426" i="5"/>
  <c r="L426" i="5"/>
  <c r="H442" i="5"/>
  <c r="K442" i="5"/>
  <c r="L442" i="5"/>
  <c r="L326" i="5"/>
  <c r="K326" i="5"/>
  <c r="L330" i="5"/>
  <c r="K330" i="5"/>
  <c r="L334" i="5"/>
  <c r="K334" i="5"/>
  <c r="K339" i="5"/>
  <c r="H339" i="5"/>
  <c r="K343" i="5"/>
  <c r="H343" i="5"/>
  <c r="K348" i="5"/>
  <c r="H348" i="5"/>
  <c r="L359" i="5"/>
  <c r="K359" i="5"/>
  <c r="H359" i="5"/>
  <c r="K364" i="5"/>
  <c r="H364" i="5"/>
  <c r="K372" i="5"/>
  <c r="H372" i="5"/>
  <c r="L372" i="5"/>
  <c r="H389" i="5"/>
  <c r="L389" i="5"/>
  <c r="K389" i="5"/>
  <c r="L407" i="5"/>
  <c r="K407" i="5"/>
  <c r="H407" i="5"/>
  <c r="H414" i="5"/>
  <c r="K414" i="5"/>
  <c r="L414" i="5"/>
  <c r="H422" i="5"/>
  <c r="K422" i="5"/>
  <c r="L422" i="5"/>
  <c r="H438" i="5"/>
  <c r="K438" i="5"/>
  <c r="L438" i="5"/>
  <c r="H454" i="5"/>
  <c r="K454" i="5"/>
  <c r="L454" i="5"/>
  <c r="K346" i="5"/>
  <c r="K350" i="5"/>
  <c r="K354" i="5"/>
  <c r="K358" i="5"/>
  <c r="K362" i="5"/>
  <c r="K367" i="5"/>
  <c r="L368" i="5"/>
  <c r="L369" i="5"/>
  <c r="L373" i="5"/>
  <c r="L377" i="5"/>
  <c r="L381" i="5"/>
  <c r="L385" i="5"/>
  <c r="K390" i="5"/>
  <c r="K394" i="5"/>
  <c r="K398" i="5"/>
  <c r="K402" i="5"/>
  <c r="H463" i="5"/>
  <c r="L463" i="5"/>
  <c r="K463" i="5"/>
  <c r="H474" i="5"/>
  <c r="K474" i="5"/>
  <c r="L474" i="5"/>
  <c r="H479" i="5"/>
  <c r="L479" i="5"/>
  <c r="K479" i="5"/>
  <c r="L371" i="5"/>
  <c r="K371" i="5"/>
  <c r="L375" i="5"/>
  <c r="K375" i="5"/>
  <c r="L379" i="5"/>
  <c r="K379" i="5"/>
  <c r="L383" i="5"/>
  <c r="K383" i="5"/>
  <c r="K388" i="5"/>
  <c r="H388" i="5"/>
  <c r="K392" i="5"/>
  <c r="H392" i="5"/>
  <c r="K396" i="5"/>
  <c r="H396" i="5"/>
  <c r="K400" i="5"/>
  <c r="H400" i="5"/>
  <c r="K404" i="5"/>
  <c r="H404" i="5"/>
  <c r="H411" i="5"/>
  <c r="L411" i="5"/>
  <c r="K411" i="5"/>
  <c r="K413" i="5"/>
  <c r="L413" i="5"/>
  <c r="H415" i="5"/>
  <c r="L415" i="5"/>
  <c r="K415" i="5"/>
  <c r="K417" i="5"/>
  <c r="L417" i="5"/>
  <c r="H419" i="5"/>
  <c r="L419" i="5"/>
  <c r="K419" i="5"/>
  <c r="K421" i="5"/>
  <c r="L421" i="5"/>
  <c r="H423" i="5"/>
  <c r="L423" i="5"/>
  <c r="K423" i="5"/>
  <c r="K425" i="5"/>
  <c r="L425" i="5"/>
  <c r="H427" i="5"/>
  <c r="L427" i="5"/>
  <c r="K427" i="5"/>
  <c r="K429" i="5"/>
  <c r="L429" i="5"/>
  <c r="H431" i="5"/>
  <c r="L431" i="5"/>
  <c r="K431" i="5"/>
  <c r="K433" i="5"/>
  <c r="L433" i="5"/>
  <c r="H435" i="5"/>
  <c r="L435" i="5"/>
  <c r="K435" i="5"/>
  <c r="K437" i="5"/>
  <c r="L437" i="5"/>
  <c r="H439" i="5"/>
  <c r="L439" i="5"/>
  <c r="K439" i="5"/>
  <c r="K441" i="5"/>
  <c r="L441" i="5"/>
  <c r="H443" i="5"/>
  <c r="L443" i="5"/>
  <c r="K443" i="5"/>
  <c r="K445" i="5"/>
  <c r="L445" i="5"/>
  <c r="H447" i="5"/>
  <c r="L447" i="5"/>
  <c r="K447" i="5"/>
  <c r="K449" i="5"/>
  <c r="L449" i="5"/>
  <c r="H451" i="5"/>
  <c r="L451" i="5"/>
  <c r="K451" i="5"/>
  <c r="K453" i="5"/>
  <c r="L453" i="5"/>
  <c r="H455" i="5"/>
  <c r="L455" i="5"/>
  <c r="K455" i="5"/>
  <c r="K457" i="5"/>
  <c r="L457" i="5"/>
  <c r="H459" i="5"/>
  <c r="L459" i="5"/>
  <c r="K459" i="5"/>
  <c r="H470" i="5"/>
  <c r="K470" i="5"/>
  <c r="L470" i="5"/>
  <c r="H475" i="5"/>
  <c r="L475" i="5"/>
  <c r="K475" i="5"/>
  <c r="L387" i="5"/>
  <c r="K387" i="5"/>
  <c r="L391" i="5"/>
  <c r="K391" i="5"/>
  <c r="L395" i="5"/>
  <c r="K395" i="5"/>
  <c r="L399" i="5"/>
  <c r="K399" i="5"/>
  <c r="L400" i="5"/>
  <c r="L403" i="5"/>
  <c r="K403" i="5"/>
  <c r="L404" i="5"/>
  <c r="L412" i="5"/>
  <c r="K412" i="5"/>
  <c r="H413" i="5"/>
  <c r="L416" i="5"/>
  <c r="K416" i="5"/>
  <c r="H417" i="5"/>
  <c r="L420" i="5"/>
  <c r="K420" i="5"/>
  <c r="H421" i="5"/>
  <c r="L424" i="5"/>
  <c r="K424" i="5"/>
  <c r="L428" i="5"/>
  <c r="K428" i="5"/>
  <c r="L432" i="5"/>
  <c r="K432" i="5"/>
  <c r="L436" i="5"/>
  <c r="K436" i="5"/>
  <c r="L440" i="5"/>
  <c r="K440" i="5"/>
  <c r="L444" i="5"/>
  <c r="K444" i="5"/>
  <c r="L448" i="5"/>
  <c r="K448" i="5"/>
  <c r="L452" i="5"/>
  <c r="K452" i="5"/>
  <c r="L456" i="5"/>
  <c r="K456" i="5"/>
  <c r="H457" i="5"/>
  <c r="H466" i="5"/>
  <c r="K466" i="5"/>
  <c r="L466" i="5"/>
  <c r="H471" i="5"/>
  <c r="L471" i="5"/>
  <c r="K471" i="5"/>
  <c r="H482" i="5"/>
  <c r="K482" i="5"/>
  <c r="L482" i="5"/>
  <c r="H486" i="5"/>
  <c r="K486" i="5"/>
  <c r="L486" i="5"/>
  <c r="H490" i="5"/>
  <c r="K490" i="5"/>
  <c r="L490" i="5"/>
  <c r="K460" i="5"/>
  <c r="K464" i="5"/>
  <c r="K468" i="5"/>
  <c r="K472" i="5"/>
  <c r="K476" i="5"/>
  <c r="K480" i="5"/>
  <c r="K461" i="5"/>
  <c r="L461" i="5"/>
  <c r="K465" i="5"/>
  <c r="L465" i="5"/>
  <c r="K469" i="5"/>
  <c r="L469" i="5"/>
  <c r="K473" i="5"/>
  <c r="L473" i="5"/>
  <c r="K477" i="5"/>
  <c r="L477" i="5"/>
  <c r="K481" i="5"/>
  <c r="L481" i="5"/>
  <c r="K485" i="5"/>
  <c r="L485" i="5"/>
  <c r="K489" i="5"/>
  <c r="L489" i="5"/>
  <c r="K493" i="5"/>
  <c r="L493" i="5"/>
  <c r="F44" i="3"/>
  <c r="K49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991F326B-66A8-44BC-9F89-77CE6C3D0FE1}">
      <text>
        <r>
          <rPr>
            <sz val="9"/>
            <color indexed="81"/>
            <rFont val="Tahoma"/>
            <family val="2"/>
          </rPr>
          <t xml:space="preserve">Place where people live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<sst xmlns="http://schemas.openxmlformats.org/spreadsheetml/2006/main" count="271" uniqueCount="180">
  <si>
    <t>x</t>
  </si>
  <si>
    <t>RM</t>
  </si>
  <si>
    <t>LSTAT</t>
  </si>
  <si>
    <t>PTRATIO</t>
  </si>
  <si>
    <t>MEDV</t>
  </si>
  <si>
    <r>
      <rPr>
        <b/>
        <sz val="11"/>
        <color rgb="FFFF0000"/>
        <rFont val="Aptos Narrow"/>
        <family val="2"/>
        <scheme val="minor"/>
      </rPr>
      <t xml:space="preserve">RM </t>
    </r>
    <r>
      <rPr>
        <sz val="11"/>
        <color theme="1"/>
        <rFont val="Aptos Narrow"/>
        <family val="2"/>
        <scheme val="minor"/>
      </rPr>
      <t>is the average number of rooms among homes in the neighborhood</t>
    </r>
  </si>
  <si>
    <t>Dwelling</t>
  </si>
  <si>
    <t>Number of Rooms</t>
  </si>
  <si>
    <t>RM  -  Average number of rooms per Dwelling</t>
  </si>
  <si>
    <r>
      <rPr>
        <sz val="11"/>
        <color rgb="FFFF0000"/>
        <rFont val="Aptos Narrow"/>
        <family val="2"/>
        <scheme val="minor"/>
      </rPr>
      <t>LSTAT</t>
    </r>
    <r>
      <rPr>
        <sz val="11"/>
        <color theme="1"/>
        <rFont val="Aptos Narrow"/>
        <family val="2"/>
        <scheme val="minor"/>
      </rPr>
      <t xml:space="preserve"> stands for the percentage of lower status of the population,</t>
    </r>
  </si>
  <si>
    <t xml:space="preserve"> It is calculated by dividing the number of people with lower economic status by the total population in a given area. </t>
  </si>
  <si>
    <t>Lower economic status is defined as having an income below a certain threshold, which varies by region and year.</t>
  </si>
  <si>
    <t>Observation</t>
  </si>
  <si>
    <t>Lower status population</t>
  </si>
  <si>
    <t>Total population</t>
  </si>
  <si>
    <t xml:space="preserve">LSTAT </t>
  </si>
  <si>
    <r>
      <rPr>
        <sz val="11"/>
        <color rgb="FFFF0000"/>
        <rFont val="Aptos Narrow"/>
        <family val="2"/>
        <scheme val="minor"/>
      </rPr>
      <t>PTRATIO</t>
    </r>
    <r>
      <rPr>
        <sz val="11"/>
        <color theme="1"/>
        <rFont val="Aptos Narrow"/>
        <family val="2"/>
        <scheme val="minor"/>
      </rPr>
      <t xml:space="preserve"> is the ratio of the total number of pupils/students in all the schools in a particular area by the total number of teachers in those schools</t>
    </r>
  </si>
  <si>
    <t>School</t>
  </si>
  <si>
    <t>Number of Pupils</t>
  </si>
  <si>
    <t>Number of Teachers</t>
  </si>
  <si>
    <r>
      <t>Therefore, a</t>
    </r>
    <r>
      <rPr>
        <b/>
        <sz val="11"/>
        <color theme="1"/>
        <rFont val="Aptos Narrow"/>
        <family val="2"/>
        <scheme val="minor"/>
      </rPr>
      <t xml:space="preserve"> low PTRATIO</t>
    </r>
    <r>
      <rPr>
        <sz val="11"/>
        <color theme="1"/>
        <rFont val="Aptos Narrow"/>
        <family val="2"/>
        <scheme val="minor"/>
      </rPr>
      <t xml:space="preserve"> is generally considered more desirable than a high one, as it is an indicator of better quality schools and higher housing values</t>
    </r>
  </si>
  <si>
    <r>
      <rPr>
        <sz val="11"/>
        <color rgb="FFFF0000"/>
        <rFont val="Aptos Narrow"/>
        <family val="2"/>
        <scheme val="minor"/>
      </rPr>
      <t>MEDV</t>
    </r>
    <r>
      <rPr>
        <sz val="11"/>
        <color theme="1"/>
        <rFont val="Aptos Narrow"/>
        <family val="2"/>
        <scheme val="minor"/>
      </rPr>
      <t xml:space="preserve"> is the median value of owner-occupied homes , generally given in $1000</t>
    </r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</si>
  <si>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</si>
  <si>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</si>
  <si>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</si>
  <si>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</si>
  <si>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</si>
  <si>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</si>
  <si>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</si>
  <si>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</si>
  <si>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</si>
  <si>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</si>
  <si>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</si>
  <si>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</si>
  <si>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</si>
  <si>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</si>
  <si>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</si>
  <si>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</si>
  <si>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</si>
  <si>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</si>
  <si>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</si>
  <si>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</si>
  <si>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</si>
  <si>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</si>
  <si>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</si>
  <si>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</si>
  <si>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y(Hat)</t>
  </si>
  <si>
    <t>Dependent variable</t>
  </si>
  <si>
    <t>c</t>
  </si>
  <si>
    <t>intercept</t>
  </si>
  <si>
    <t>a1,a2,a3</t>
  </si>
  <si>
    <t>x1,x2,x3</t>
  </si>
  <si>
    <t>Independent variable</t>
  </si>
  <si>
    <t>y(hat)=</t>
  </si>
  <si>
    <t>415464.396516735 +86565*(RM) -10849*(LSTAT) -19492*(PTRATIO)</t>
  </si>
  <si>
    <t>Predicted MEDV</t>
  </si>
  <si>
    <t>A</t>
  </si>
  <si>
    <t>P</t>
  </si>
  <si>
    <t xml:space="preserve"> Squared Difference</t>
  </si>
  <si>
    <t>Sum of Absolute Difference</t>
  </si>
  <si>
    <t>Mean Absolute Percentage Error)</t>
  </si>
  <si>
    <t>Residual Or Error [y(hat)-y]</t>
  </si>
  <si>
    <t>Err^2</t>
  </si>
  <si>
    <t>SAD</t>
  </si>
  <si>
    <t>MAPE</t>
  </si>
  <si>
    <t>Sum of Squared Difference</t>
  </si>
  <si>
    <t>MSE</t>
  </si>
  <si>
    <t>Mean Absolute Error(MAE)</t>
  </si>
  <si>
    <t>(Total Err/df)</t>
  </si>
  <si>
    <t>Sample Size/Observations (n)</t>
  </si>
  <si>
    <t>RMSE</t>
  </si>
  <si>
    <t>input columns (k)</t>
  </si>
  <si>
    <t>Degrees of freedom</t>
  </si>
  <si>
    <t>n-k-1</t>
  </si>
  <si>
    <t>489-3-1</t>
  </si>
  <si>
    <t>2. Ordered Weighted Average (OWA)</t>
  </si>
  <si>
    <t>OWA  are used to aggregate a set of values by assigning weights to each value based on its rank in the sorted list of values.</t>
  </si>
  <si>
    <t>The sorting is done for the inputs</t>
  </si>
  <si>
    <t>weights are not ordered or ranked</t>
  </si>
  <si>
    <t>The inputs are re-arranged in non -decreasing order</t>
  </si>
  <si>
    <t>Example</t>
  </si>
  <si>
    <t>(0.3.0.6,0.8,0.2)</t>
  </si>
  <si>
    <t>w</t>
  </si>
  <si>
    <t>(0.1,0.3,0.4,0.2)</t>
  </si>
  <si>
    <t>Rearranging the inputs</t>
  </si>
  <si>
    <t>Weights order is same</t>
  </si>
  <si>
    <t>OWA</t>
  </si>
  <si>
    <t xml:space="preserve">The weights assigned to each number are not uniform and are based on the importance of each number in the set. </t>
  </si>
  <si>
    <t>They have been widely used in computational intelligence because of their ability to model linguistically expressed aggregation instructions</t>
  </si>
  <si>
    <t>1. Quasi -Arithmetic Mean</t>
  </si>
  <si>
    <t>The quasi-arithmetic mean is a useful tool for analyzing data sets that have a non-uniform distribution</t>
  </si>
  <si>
    <t>Original Value (x)</t>
  </si>
  <si>
    <t>Min-Max Scale</t>
  </si>
  <si>
    <t>(5-5) /(45-5)</t>
  </si>
  <si>
    <t>(15-5)/(45-5)</t>
  </si>
  <si>
    <t>(25-5)/(45-5)</t>
  </si>
  <si>
    <t>(35-5)/(45-5)</t>
  </si>
  <si>
    <t>Min-Max Value</t>
  </si>
  <si>
    <t>(45-5)/(45-5)</t>
  </si>
  <si>
    <t>weights(w)</t>
  </si>
  <si>
    <t>Max(x) -Min(x)</t>
  </si>
  <si>
    <t>x -Min(x)</t>
  </si>
  <si>
    <t>w =1/len(x)</t>
  </si>
  <si>
    <t>here len(x) =5, as there are 5 rows</t>
  </si>
  <si>
    <t>Predicted - Weighted Value (w*x)</t>
  </si>
  <si>
    <t>Euclidean distance: This is the straight-line distance between two points in Euclidean space.Distance between two points in a 2D or 3D space</t>
  </si>
  <si>
    <t>Manhattan distance: This is the distance between two points measured along the axes at right angles.</t>
  </si>
  <si>
    <t>When to use</t>
  </si>
  <si>
    <t xml:space="preserve">Euclidean distance: When calculating the distance between two rows of data that have numerical values, such as floating-point or integer values </t>
  </si>
  <si>
    <t>Manhattan distance: When the data points have discrete values or when the data is in the form of a grid</t>
  </si>
  <si>
    <t>y</t>
  </si>
  <si>
    <t>Actual -Predicted</t>
  </si>
  <si>
    <t>x-y</t>
  </si>
  <si>
    <t>(x-y)^2</t>
  </si>
  <si>
    <t>squared difference</t>
  </si>
  <si>
    <t>D</t>
  </si>
  <si>
    <t>Abs(x-y)</t>
  </si>
  <si>
    <t xml:space="preserve">Chebyshev distance: This is the maximum distance between any two coordinates of the two points being compared. </t>
  </si>
  <si>
    <t>Mahalanobis distance: This is a measure of the distance between a point and a distribution.</t>
  </si>
  <si>
    <t>Chebyshev distance: When the data points have a large number of dimensions.For example, it can be used to calculate the distance between two points in a high-dimensional space.</t>
  </si>
  <si>
    <t xml:space="preserve">Mahalanobis distance: When the data points have a high degree of correlation or when the data is not normally distributed </t>
  </si>
  <si>
    <t>Chebyshev Distance</t>
  </si>
  <si>
    <t>Check next sheet for calculation</t>
  </si>
  <si>
    <t>Step1</t>
  </si>
  <si>
    <t>Step2</t>
  </si>
  <si>
    <t>Step 5</t>
  </si>
  <si>
    <t>Step 6</t>
  </si>
  <si>
    <t>Mean Difference</t>
  </si>
  <si>
    <t>Multiply -  Inverse Covariance &amp; Mean Diff</t>
  </si>
  <si>
    <t>Multiplication of step5 table with transpose of Mean</t>
  </si>
  <si>
    <t>Mahanalobis Distance</t>
  </si>
  <si>
    <t>Mean</t>
  </si>
  <si>
    <t>Step 3</t>
  </si>
  <si>
    <t>Step 4</t>
  </si>
  <si>
    <t>Covariance Matrix</t>
  </si>
  <si>
    <t>Inverse Covariance</t>
  </si>
  <si>
    <t>Minkowsky Distance</t>
  </si>
  <si>
    <t>It’s a generalised equation to capture distance between two points</t>
  </si>
  <si>
    <t>p=1</t>
  </si>
  <si>
    <t>Manhattan Distance</t>
  </si>
  <si>
    <t>p=2</t>
  </si>
  <si>
    <t>Euclidean Distance</t>
  </si>
  <si>
    <t>p= infinity</t>
  </si>
  <si>
    <t>a</t>
  </si>
  <si>
    <r>
      <t>a</t>
    </r>
    <r>
      <rPr>
        <vertAlign val="superscript"/>
        <sz val="11"/>
        <color theme="1"/>
        <rFont val="Aptos Narrow"/>
        <family val="2"/>
        <scheme val="minor"/>
      </rPr>
      <t>-1</t>
    </r>
  </si>
  <si>
    <t>Predicted Value - Weighted Value (w*x)</t>
  </si>
  <si>
    <t>h</t>
  </si>
  <si>
    <t>LB</t>
  </si>
  <si>
    <t>UB</t>
  </si>
  <si>
    <t>Diagonal values - variance of each variable (how much that variable spreads out).</t>
  </si>
  <si>
    <t>Off-diagonal values = covariance between two variables (how they move together).</t>
  </si>
  <si>
    <t>Last week</t>
  </si>
  <si>
    <t>Techniques</t>
  </si>
  <si>
    <t>AM</t>
  </si>
  <si>
    <t>WAM</t>
  </si>
  <si>
    <t>PM</t>
  </si>
  <si>
    <t>gm, am, squareroot</t>
  </si>
  <si>
    <t>equal weights</t>
  </si>
  <si>
    <t>Unequal weights</t>
  </si>
  <si>
    <t>Orness</t>
  </si>
  <si>
    <t>Fuzzy Measure</t>
  </si>
  <si>
    <t>Choquet</t>
  </si>
  <si>
    <t>Data</t>
  </si>
  <si>
    <t>Transformation</t>
  </si>
  <si>
    <t>Model</t>
  </si>
  <si>
    <t>Weights</t>
  </si>
  <si>
    <t>formula</t>
  </si>
  <si>
    <t>Output</t>
  </si>
  <si>
    <t>(A-P)</t>
  </si>
  <si>
    <t>Error</t>
  </si>
  <si>
    <t>Correlation</t>
  </si>
  <si>
    <t>A-P</t>
  </si>
  <si>
    <t>Distance</t>
  </si>
  <si>
    <t>Small</t>
  </si>
  <si>
    <t>a-p</t>
  </si>
  <si>
    <t>Similar</t>
  </si>
  <si>
    <t>Good -adding weights is significant</t>
  </si>
  <si>
    <t>Large</t>
  </si>
  <si>
    <t>Dissimilar</t>
  </si>
  <si>
    <t>Adding weights is NOT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</si>
</sst>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2" fontId="0" fillId="3" borderId="0" xfId="0" applyNumberFormat="1" applyFill="1" applyAlignment="1">
      <alignment horizontal="center"/>
    </xf>
    <xf numFmtId="0" fontId="6" fillId="0" borderId="1" xfId="0" applyFont="1" applyBorder="1" applyAlignment="1">
      <alignment horizontal="centerContinuous"/>
    </xf>
    <xf numFmtId="1" fontId="0" fillId="3" borderId="0" xfId="0" applyNumberFormat="1" applyFill="1"/>
    <xf numFmtId="0" fontId="0" fillId="0" borderId="2" xfId="0" applyBorder="1"/>
    <xf numFmtId="0" fontId="6" fillId="0" borderId="1" xfId="0" applyFont="1" applyBorder="1" applyAlignment="1">
      <alignment horizontal="center"/>
    </xf>
    <xf numFmtId="1" fontId="0" fillId="0" borderId="0" xfId="0" applyNumberFormat="1"/>
    <xf numFmtId="0" fontId="0" fillId="3" borderId="0" xfId="0" applyFill="1"/>
    <xf numFmtId="1" fontId="0" fillId="0" borderId="2" xfId="0" applyNumberFormat="1" applyBorder="1"/>
    <xf numFmtId="0" fontId="0" fillId="3" borderId="2" xfId="0" applyFill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3" fillId="6" borderId="0" xfId="0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wrapText="1"/>
    </xf>
    <xf numFmtId="2" fontId="0" fillId="6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wrapText="1"/>
    </xf>
    <xf numFmtId="0" fontId="0" fillId="8" borderId="0" xfId="0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wrapText="1"/>
    </xf>
    <xf numFmtId="0" fontId="0" fillId="6" borderId="0" xfId="0" applyFill="1" applyAlignment="1">
      <alignment vertical="center" wrapText="1"/>
    </xf>
    <xf numFmtId="0" fontId="0" fillId="8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1" fontId="3" fillId="9" borderId="0" xfId="0" applyNumberFormat="1" applyFont="1" applyFill="1" applyAlignment="1">
      <alignment horizontal="center"/>
    </xf>
    <xf numFmtId="1" fontId="3" fillId="9" borderId="0" xfId="0" applyNumberFormat="1" applyFont="1" applyFill="1"/>
    <xf numFmtId="0" fontId="0" fillId="10" borderId="2" xfId="0" applyFill="1" applyBorder="1"/>
    <xf numFmtId="0" fontId="2" fillId="0" borderId="0" xfId="0" applyFont="1"/>
    <xf numFmtId="0" fontId="0" fillId="11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Continuous"/>
    </xf>
    <xf numFmtId="1" fontId="0" fillId="3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466724</xdr:colOff>
      <xdr:row>20</xdr:row>
      <xdr:rowOff>149225</xdr:rowOff>
    </xdr:from>
    <xdr:ext cx="6296025" cy="415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F100C70-5776-431F-A21E-778DA48CA3F0}"/>
                </a:ext>
              </a:extLst>
            </xdr:cNvPr>
            <xdr:cNvSpPr txBox="1"/>
          </xdr:nvSpPr>
          <xdr:spPr>
            <a:xfrm>
              <a:off x="4124324" y="3852545"/>
              <a:ext cx="6296025" cy="415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  <m:r>
                      <a:rPr lang="en-IN" sz="1800" b="1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IN" sz="1800" b="1" i="1">
                        <a:latin typeface="Cambria Math" panose="02040503050406030204" pitchFamily="18" charset="0"/>
                      </a:rPr>
                      <m:t>𝒄</m:t>
                    </m:r>
                    <m:r>
                      <a:rPr lang="en-IN" sz="1800" b="1" i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IN" sz="1800" b="1" i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IN" sz="1800" b="1" i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IN" sz="1800" b="1" i="0">
                        <a:latin typeface="Cambria Math" panose="02040503050406030204" pitchFamily="18" charset="0"/>
                      </a:rPr>
                      <m:t>+…+</m:t>
                    </m:r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𝒂</m:t>
                        </m:r>
                      </m:e>
                      <m:sub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𝒏</m:t>
                        </m:r>
                      </m:sub>
                    </m:sSub>
                    <m:sSub>
                      <m:sSub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𝒏</m:t>
                        </m:r>
                      </m:sub>
                    </m:sSub>
                  </m:oMath>
                </m:oMathPara>
              </a14:m>
              <a:endParaRPr lang="en-IN" sz="18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F100C70-5776-431F-A21E-778DA48CA3F0}"/>
                </a:ext>
              </a:extLst>
            </xdr:cNvPr>
            <xdr:cNvSpPr txBox="1"/>
          </xdr:nvSpPr>
          <xdr:spPr>
            <a:xfrm>
              <a:off x="4124324" y="3852545"/>
              <a:ext cx="6296025" cy="415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IN" sz="1800" b="1" i="0">
                  <a:latin typeface="Cambria Math" panose="02040503050406030204" pitchFamily="18" charset="0"/>
                </a:rPr>
                <a:t>𝒚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IN" sz="1800" b="1" i="0">
                  <a:latin typeface="Cambria Math" panose="02040503050406030204" pitchFamily="18" charset="0"/>
                </a:rPr>
                <a:t>=𝒄+𝒂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𝟏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IN" sz="1800" b="1" i="0">
                  <a:latin typeface="Cambria Math" panose="02040503050406030204" pitchFamily="18" charset="0"/>
                </a:rPr>
                <a:t>𝒙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𝟏+𝒂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𝟐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IN" sz="1800" b="1" i="0">
                  <a:latin typeface="Cambria Math" panose="02040503050406030204" pitchFamily="18" charset="0"/>
                </a:rPr>
                <a:t>𝒙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𝟐+𝒂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𝟑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IN" sz="1800" b="1" i="0">
                  <a:latin typeface="Cambria Math" panose="02040503050406030204" pitchFamily="18" charset="0"/>
                </a:rPr>
                <a:t>𝒙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𝟑+…+𝒂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𝒏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IN" sz="1800" b="1" i="0">
                  <a:latin typeface="Cambria Math" panose="02040503050406030204" pitchFamily="18" charset="0"/>
                </a:rPr>
                <a:t>𝒙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𝒏</a:t>
              </a:r>
              <a:endParaRPr lang="en-IN" sz="18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587374</xdr:colOff>
      <xdr:row>2</xdr:row>
      <xdr:rowOff>47624</xdr:rowOff>
    </xdr:from>
    <xdr:ext cx="2727326" cy="7080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B1A850-EB83-4926-80DC-80AC9B28FCD5}"/>
                </a:ext>
              </a:extLst>
            </xdr:cNvPr>
            <xdr:cNvSpPr txBox="1"/>
          </xdr:nvSpPr>
          <xdr:spPr>
            <a:xfrm>
              <a:off x="3993514" y="779144"/>
              <a:ext cx="2727326" cy="7080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1" i="1">
                        <a:latin typeface="Cambria Math" panose="02040503050406030204" pitchFamily="18" charset="0"/>
                      </a:rPr>
                      <m:t>𝑫</m:t>
                    </m:r>
                    <m:d>
                      <m:dPr>
                        <m:ctrlPr>
                          <a:rPr lang="en-IN" sz="11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N" sz="1100" b="1" i="1">
                            <a:latin typeface="Cambria Math" panose="02040503050406030204" pitchFamily="18" charset="0"/>
                          </a:rPr>
                          <m:t>𝒙</m:t>
                        </m:r>
                        <m:r>
                          <a:rPr lang="en-IN" sz="1100" b="1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IN" sz="11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d>
                    <m:r>
                      <a:rPr lang="en-IN" sz="1100" b="1" i="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IN" sz="11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limLoc m:val="undOvr"/>
                            <m:grow m:val="on"/>
                            <m:ctrlPr>
                              <a:rPr lang="en-IN" sz="1100" b="1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IN" sz="11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  <m:r>
                              <a:rPr lang="en-IN" sz="1100" b="1" i="0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IN" sz="1100" b="1" i="0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  <m:sup>
                            <m:r>
                              <a:rPr lang="en-IN" sz="1100" b="1" i="1">
                                <a:latin typeface="Cambria Math" panose="02040503050406030204" pitchFamily="18" charset="0"/>
                              </a:rPr>
                              <m:t>𝒏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IN" sz="11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IN" sz="1100" b="1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IN" sz="1100" b="1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N" sz="1100" b="1" i="1">
                                            <a:latin typeface="Cambria Math" panose="02040503050406030204" pitchFamily="18" charset="0"/>
                                          </a:rPr>
                                          <m:t>𝒙</m:t>
                                        </m:r>
                                      </m:e>
                                      <m:sub>
                                        <m:r>
                                          <a:rPr lang="en-IN" sz="1100" b="1" i="1">
                                            <a:latin typeface="Cambria Math" panose="02040503050406030204" pitchFamily="18" charset="0"/>
                                          </a:rPr>
                                          <m:t>𝒊</m:t>
                                        </m:r>
                                      </m:sub>
                                    </m:sSub>
                                    <m:r>
                                      <a:rPr lang="en-IN" sz="1100" b="1" i="0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IN" sz="1100" b="1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N" sz="1100" b="1" i="1">
                                            <a:latin typeface="Cambria Math" panose="02040503050406030204" pitchFamily="18" charset="0"/>
                                          </a:rPr>
                                          <m:t>𝒚</m:t>
                                        </m:r>
                                      </m:e>
                                      <m:sub>
                                        <m:r>
                                          <a:rPr lang="en-IN" sz="1100" b="1" i="1">
                                            <a:latin typeface="Cambria Math" panose="02040503050406030204" pitchFamily="18" charset="0"/>
                                          </a:rPr>
                                          <m:t>𝒊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IN" sz="1100" b="1" i="0"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IN" sz="11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B1A850-EB83-4926-80DC-80AC9B28FCD5}"/>
                </a:ext>
              </a:extLst>
            </xdr:cNvPr>
            <xdr:cNvSpPr txBox="1"/>
          </xdr:nvSpPr>
          <xdr:spPr>
            <a:xfrm>
              <a:off x="3993514" y="779144"/>
              <a:ext cx="2727326" cy="7080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100" b="1" i="0">
                  <a:latin typeface="Cambria Math" panose="02040503050406030204" pitchFamily="18" charset="0"/>
                </a:rPr>
                <a:t>𝑫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100" b="1" i="0">
                  <a:latin typeface="Cambria Math" panose="02040503050406030204" pitchFamily="18" charset="0"/>
                </a:rPr>
                <a:t>𝒙,𝒚)=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√(∑129_(</a:t>
              </a:r>
              <a:r>
                <a:rPr lang="en-IN" sz="1100" b="1" i="0">
                  <a:latin typeface="Cambria Math" panose="02040503050406030204" pitchFamily="18" charset="0"/>
                </a:rPr>
                <a:t>𝒊=𝟏)^𝒏▒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100" b="1" i="0">
                  <a:latin typeface="Cambria Math" panose="02040503050406030204" pitchFamily="18" charset="0"/>
                </a:rPr>
                <a:t>𝒙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b="1" i="0">
                  <a:latin typeface="Cambria Math" panose="02040503050406030204" pitchFamily="18" charset="0"/>
                </a:rPr>
                <a:t>𝒊−𝒚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100" b="1" i="0">
                  <a:latin typeface="Cambria Math" panose="02040503050406030204" pitchFamily="18" charset="0"/>
                </a:rPr>
                <a:t>𝒊 )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1100" b="1" i="0">
                  <a:latin typeface="Cambria Math" panose="02040503050406030204" pitchFamily="18" charset="0"/>
                </a:rPr>
                <a:t>𝟐 </a:t>
              </a:r>
              <a:r>
                <a:rPr lang="en-IN" sz="11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N" sz="1100" b="1"/>
            </a:p>
          </xdr:txBody>
        </xdr:sp>
      </mc:Fallback>
    </mc:AlternateContent>
    <xdr:clientData/>
  </xdr:oneCellAnchor>
  <xdr:oneCellAnchor>
    <xdr:from>
      <xdr:col>7</xdr:col>
      <xdr:colOff>847724</xdr:colOff>
      <xdr:row>2</xdr:row>
      <xdr:rowOff>98424</xdr:rowOff>
    </xdr:from>
    <xdr:ext cx="2320926" cy="504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557D41-B564-4F69-9383-155F9DE1AA84}"/>
                </a:ext>
              </a:extLst>
            </xdr:cNvPr>
            <xdr:cNvSpPr txBox="1"/>
          </xdr:nvSpPr>
          <xdr:spPr>
            <a:xfrm>
              <a:off x="8117204" y="829944"/>
              <a:ext cx="2320926" cy="504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200" b="1" i="1">
                        <a:latin typeface="Cambria Math" panose="02040503050406030204" pitchFamily="18" charset="0"/>
                      </a:rPr>
                      <m:t>𝑫</m:t>
                    </m:r>
                    <m:d>
                      <m:dPr>
                        <m:ctrlPr>
                          <a:rPr lang="en-IN" sz="12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𝒙</m:t>
                        </m:r>
                        <m:r>
                          <a:rPr lang="en-IN" sz="1200" b="1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d>
                    <m:r>
                      <a:rPr lang="en-IN" sz="1200" b="1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200" b="1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𝒊</m:t>
                        </m:r>
                        <m:r>
                          <a:rPr lang="en-IN" sz="1200" b="1" i="0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n-IN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𝒏</m:t>
                        </m:r>
                      </m:sup>
                      <m:e>
                        <m:d>
                          <m:dPr>
                            <m:begChr m:val="|"/>
                            <m:endChr m:val="|"/>
                            <m:ctrlPr>
                              <a:rPr lang="en-IN" sz="1200" b="1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IN" sz="12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200" b="1" i="1">
                                    <a:latin typeface="Cambria Math" panose="02040503050406030204" pitchFamily="18" charset="0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n-IN" sz="1200" b="1" i="1"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  <m:r>
                              <a:rPr lang="en-IN" sz="1200" b="1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IN" sz="12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200" b="1" i="1">
                                    <a:latin typeface="Cambria Math" panose="02040503050406030204" pitchFamily="18" charset="0"/>
                                  </a:rPr>
                                  <m:t>𝒚</m:t>
                                </m:r>
                              </m:e>
                              <m:sub>
                                <m:r>
                                  <a:rPr lang="en-IN" sz="1200" b="1" i="1"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</m:e>
                        </m:d>
                      </m:e>
                    </m:nary>
                  </m:oMath>
                </m:oMathPara>
              </a14:m>
              <a:endParaRPr lang="en-IN" sz="12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557D41-B564-4F69-9383-155F9DE1AA84}"/>
                </a:ext>
              </a:extLst>
            </xdr:cNvPr>
            <xdr:cNvSpPr txBox="1"/>
          </xdr:nvSpPr>
          <xdr:spPr>
            <a:xfrm>
              <a:off x="8117204" y="829944"/>
              <a:ext cx="2320926" cy="504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N" sz="1200" b="1" i="0">
                  <a:latin typeface="Cambria Math" panose="02040503050406030204" pitchFamily="18" charset="0"/>
                </a:rPr>
                <a:t>𝑫</a:t>
              </a:r>
              <a:r>
                <a:rPr lang="en-IN" sz="12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200" b="1" i="0">
                  <a:latin typeface="Cambria Math" panose="02040503050406030204" pitchFamily="18" charset="0"/>
                </a:rPr>
                <a:t>𝒙,𝒚)=∑129_(𝒊=𝟏)^𝒏▒</a:t>
              </a:r>
              <a:r>
                <a:rPr lang="en-IN" sz="12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en-IN" sz="1200" b="1" i="0">
                  <a:latin typeface="Cambria Math" panose="02040503050406030204" pitchFamily="18" charset="0"/>
                </a:rPr>
                <a:t>𝒙</a:t>
              </a:r>
              <a:r>
                <a:rPr lang="en-IN" sz="12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200" b="1" i="0">
                  <a:latin typeface="Cambria Math" panose="02040503050406030204" pitchFamily="18" charset="0"/>
                </a:rPr>
                <a:t>𝒊−𝒚</a:t>
              </a:r>
              <a:r>
                <a:rPr lang="en-IN" sz="12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200" b="1" i="0">
                  <a:latin typeface="Cambria Math" panose="02040503050406030204" pitchFamily="18" charset="0"/>
                </a:rPr>
                <a:t>𝒊 | </a:t>
              </a:r>
              <a:endParaRPr lang="en-IN" sz="12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31750</xdr:colOff>
      <xdr:row>2</xdr:row>
      <xdr:rowOff>158751</xdr:rowOff>
    </xdr:from>
    <xdr:ext cx="2411541" cy="4762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FD8743-C843-4F77-B219-8EBB27E4044C}"/>
                </a:ext>
              </a:extLst>
            </xdr:cNvPr>
            <xdr:cNvSpPr txBox="1"/>
          </xdr:nvSpPr>
          <xdr:spPr>
            <a:xfrm>
              <a:off x="3437890" y="890271"/>
              <a:ext cx="2411541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800" b="1" i="1">
                        <a:latin typeface="Cambria Math" panose="02040503050406030204" pitchFamily="18" charset="0"/>
                      </a:rPr>
                      <m:t>𝑫</m:t>
                    </m:r>
                    <m:d>
                      <m:dPr>
                        <m:ctrlPr>
                          <a:rPr lang="en-IN" sz="18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𝒙</m:t>
                        </m:r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IN" sz="18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d>
                    <m:r>
                      <a:rPr lang="en-IN" sz="1800" b="1" i="0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IN" sz="18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IN" sz="1800" b="1" i="0">
                            <a:latin typeface="Cambria Math" panose="02040503050406030204" pitchFamily="18" charset="0"/>
                          </a:rPr>
                          <m:t>𝐦𝐚𝐱</m:t>
                        </m:r>
                      </m:fName>
                      <m:e>
                        <m:d>
                          <m:dPr>
                            <m:begChr m:val="|"/>
                            <m:endChr m:val="|"/>
                            <m:ctrlPr>
                              <a:rPr lang="en-IN" sz="1800" b="1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IN" sz="18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800" b="1" i="1">
                                    <a:latin typeface="Cambria Math" panose="02040503050406030204" pitchFamily="18" charset="0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n-IN" sz="1800" b="1" i="1"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  <m:r>
                              <a:rPr lang="en-IN" sz="1800" b="1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IN" sz="18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IN" sz="1800" b="1" i="1">
                                    <a:latin typeface="Cambria Math" panose="02040503050406030204" pitchFamily="18" charset="0"/>
                                  </a:rPr>
                                  <m:t>𝒚</m:t>
                                </m:r>
                              </m:e>
                              <m:sub>
                                <m:r>
                                  <a:rPr lang="en-IN" sz="1800" b="1" i="1"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</m:e>
                        </m:d>
                      </m:e>
                    </m:func>
                  </m:oMath>
                </m:oMathPara>
              </a14:m>
              <a:endParaRPr lang="en-IN" sz="18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FD8743-C843-4F77-B219-8EBB27E4044C}"/>
                </a:ext>
              </a:extLst>
            </xdr:cNvPr>
            <xdr:cNvSpPr txBox="1"/>
          </xdr:nvSpPr>
          <xdr:spPr>
            <a:xfrm>
              <a:off x="3437890" y="890271"/>
              <a:ext cx="2411541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1800" b="1" i="0">
                  <a:latin typeface="Cambria Math" panose="02040503050406030204" pitchFamily="18" charset="0"/>
                </a:rPr>
                <a:t>𝑫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800" b="1" i="0">
                  <a:latin typeface="Cambria Math" panose="02040503050406030204" pitchFamily="18" charset="0"/>
                </a:rPr>
                <a:t>𝒙,𝒚)=𝐦𝐚𝐱⁡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en-IN" sz="1800" b="1" i="0">
                  <a:latin typeface="Cambria Math" panose="02040503050406030204" pitchFamily="18" charset="0"/>
                </a:rPr>
                <a:t>𝒙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𝒊−𝒚</a:t>
              </a:r>
              <a:r>
                <a:rPr lang="en-IN" sz="18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800" b="1" i="0">
                  <a:latin typeface="Cambria Math" panose="02040503050406030204" pitchFamily="18" charset="0"/>
                </a:rPr>
                <a:t>𝒊 |</a:t>
              </a:r>
              <a:endParaRPr lang="en-IN" sz="1800" b="1"/>
            </a:p>
          </xdr:txBody>
        </xdr:sp>
      </mc:Fallback>
    </mc:AlternateContent>
    <xdr:clientData/>
  </xdr:oneCellAnchor>
  <xdr:oneCellAnchor>
    <xdr:from>
      <xdr:col>8</xdr:col>
      <xdr:colOff>127000</xdr:colOff>
      <xdr:row>3</xdr:row>
      <xdr:rowOff>47624</xdr:rowOff>
    </xdr:from>
    <xdr:ext cx="2590800" cy="4794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805E77-884A-4038-B844-5C7E30FE44DD}"/>
                </a:ext>
              </a:extLst>
            </xdr:cNvPr>
            <xdr:cNvSpPr txBox="1"/>
          </xdr:nvSpPr>
          <xdr:spPr>
            <a:xfrm>
              <a:off x="7548880" y="962024"/>
              <a:ext cx="2590800" cy="4794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400" i="1">
                        <a:latin typeface="Cambria Math" panose="02040503050406030204" pitchFamily="18" charset="0"/>
                      </a:rPr>
                      <m:t>𝐷</m:t>
                    </m:r>
                    <m:d>
                      <m:dPr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N" sz="140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IN" sz="14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n-IN" sz="1400" i="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IN" sz="14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IN" sz="14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IN" sz="14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IN" sz="14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IN" sz="14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d>
                          </m:e>
                          <m:sup>
                            <m:r>
                              <a:rPr lang="en-IN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sSup>
                          <m:sSupPr>
                            <m:ctrlPr>
                              <a:rPr lang="en-IN" sz="14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IN" sz="14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p>
                        </m:sSup>
                        <m:d>
                          <m:dPr>
                            <m:ctrlPr>
                              <a:rPr lang="en-IN" sz="14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IN" sz="14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IN" sz="14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4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d>
                      </m:e>
                    </m:rad>
                  </m:oMath>
                </m:oMathPara>
              </a14:m>
              <a:endParaRPr lang="en-IN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805E77-884A-4038-B844-5C7E30FE44DD}"/>
                </a:ext>
              </a:extLst>
            </xdr:cNvPr>
            <xdr:cNvSpPr txBox="1"/>
          </xdr:nvSpPr>
          <xdr:spPr>
            <a:xfrm>
              <a:off x="7548880" y="962024"/>
              <a:ext cx="2590800" cy="4794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𝐷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400" i="0">
                  <a:latin typeface="Cambria Math" panose="02040503050406030204" pitchFamily="18" charset="0"/>
                </a:rPr>
                <a:t>𝑥,𝑦)=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√((</a:t>
              </a:r>
              <a:r>
                <a:rPr lang="en-IN" sz="1400" i="0">
                  <a:latin typeface="Cambria Math" panose="02040503050406030204" pitchFamily="18" charset="0"/>
                </a:rPr>
                <a:t>𝑥−𝑦)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1400" i="0">
                  <a:latin typeface="Cambria Math" panose="02040503050406030204" pitchFamily="18" charset="0"/>
                </a:rPr>
                <a:t>𝑇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IN" sz="1400" i="0">
                  <a:latin typeface="Cambria Math" panose="02040503050406030204" pitchFamily="18" charset="0"/>
                </a:rPr>
                <a:t>𝑠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en-IN" sz="1400" i="0">
                  <a:latin typeface="Cambria Math" panose="02040503050406030204" pitchFamily="18" charset="0"/>
                </a:rPr>
                <a:t>−1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 (</a:t>
              </a:r>
              <a:r>
                <a:rPr lang="en-IN" sz="1400" i="0">
                  <a:latin typeface="Cambria Math" panose="02040503050406030204" pitchFamily="18" charset="0"/>
                </a:rPr>
                <a:t>𝑥−𝑦) 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N" sz="14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339724</xdr:colOff>
      <xdr:row>4</xdr:row>
      <xdr:rowOff>53974</xdr:rowOff>
    </xdr:from>
    <xdr:ext cx="3571875" cy="1127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0C9D37-2EFC-4272-828F-9095C718ECD9}"/>
                </a:ext>
              </a:extLst>
            </xdr:cNvPr>
            <xdr:cNvSpPr txBox="1"/>
          </xdr:nvSpPr>
          <xdr:spPr>
            <a:xfrm>
              <a:off x="949324" y="785494"/>
              <a:ext cx="3571875" cy="1127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2000" i="1">
                        <a:latin typeface="Cambria Math" panose="02040503050406030204" pitchFamily="18" charset="0"/>
                      </a:rPr>
                      <m:t>𝐷</m:t>
                    </m:r>
                    <m:d>
                      <m:dPr>
                        <m:ctrlPr>
                          <a:rPr lang="en-IN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IN" sz="200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IN" sz="2000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IN" sz="20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n-IN" sz="200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N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IN" sz="20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grow m:val="on"/>
                                <m:ctrlPr>
                                  <a:rPr lang="en-IN" sz="20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IN" sz="20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IN" sz="2000" i="0">
                                    <a:latin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n-IN" sz="20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lang="en-IN" sz="20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begChr m:val="|"/>
                                        <m:endChr m:val="|"/>
                                        <m:ctrlPr>
                                          <a:rPr lang="en-IN" sz="20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IN" sz="20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IN" sz="2000" i="1">
                                                <a:latin typeface="Cambria Math" panose="02040503050406030204" pitchFamily="18" charset="0"/>
                                              </a:rPr>
                                              <m:t>𝑥</m:t>
                                            </m:r>
                                          </m:e>
                                          <m:sub>
                                            <m:r>
                                              <a:rPr lang="en-IN" sz="200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r>
                                          <a:rPr lang="en-IN" sz="2000" i="0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lang="en-IN" sz="20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IN" sz="200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b>
                                            <m:r>
                                              <a:rPr lang="en-IN" sz="200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lang="en-IN" sz="20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sup>
                                </m:sSup>
                              </m:e>
                            </m:nary>
                          </m:e>
                        </m:d>
                      </m:e>
                      <m:sup>
                        <m:f>
                          <m:fPr>
                            <m:type m:val="skw"/>
                            <m:ctrlPr>
                              <a:rPr lang="en-IN" sz="20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20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IN" sz="200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IN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0C9D37-2EFC-4272-828F-9095C718ECD9}"/>
                </a:ext>
              </a:extLst>
            </xdr:cNvPr>
            <xdr:cNvSpPr txBox="1"/>
          </xdr:nvSpPr>
          <xdr:spPr>
            <a:xfrm>
              <a:off x="949324" y="785494"/>
              <a:ext cx="3571875" cy="1127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2000" i="0">
                  <a:latin typeface="Cambria Math" panose="02040503050406030204" pitchFamily="18" charset="0"/>
                </a:rPr>
                <a:t>𝐷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2000" i="0">
                  <a:latin typeface="Cambria Math" panose="02040503050406030204" pitchFamily="18" charset="0"/>
                </a:rPr>
                <a:t>𝑥,𝑦)=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(∑129_(</a:t>
              </a:r>
              <a:r>
                <a:rPr lang="en-IN" sz="2000" i="0">
                  <a:latin typeface="Cambria Math" panose="02040503050406030204" pitchFamily="18" charset="0"/>
                </a:rPr>
                <a:t>𝑖=1)^𝑛▒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en-IN" sz="2000" i="0">
                  <a:latin typeface="Cambria Math" panose="02040503050406030204" pitchFamily="18" charset="0"/>
                </a:rPr>
                <a:t>𝑥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2000" i="0">
                  <a:latin typeface="Cambria Math" panose="02040503050406030204" pitchFamily="18" charset="0"/>
                </a:rPr>
                <a:t>𝑖−𝑦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2000" i="0">
                  <a:latin typeface="Cambria Math" panose="02040503050406030204" pitchFamily="18" charset="0"/>
                </a:rPr>
                <a:t>𝑖 |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2000" i="0">
                  <a:latin typeface="Cambria Math" panose="02040503050406030204" pitchFamily="18" charset="0"/>
                </a:rPr>
                <a:t>𝑝 )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en-IN" sz="2000" i="0">
                  <a:latin typeface="Cambria Math" panose="02040503050406030204" pitchFamily="18" charset="0"/>
                </a:rPr>
                <a:t>1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⁄</a:t>
              </a:r>
              <a:r>
                <a:rPr lang="en-IN" sz="2000" i="0">
                  <a:latin typeface="Cambria Math" panose="02040503050406030204" pitchFamily="18" charset="0"/>
                </a:rPr>
                <a:t>𝑝</a:t>
              </a:r>
              <a:r>
                <a:rPr lang="en-IN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N" sz="2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F341-C49C-4E75-BF14-0035A54A6B17}">
  <dimension ref="A1:D490"/>
  <sheetViews>
    <sheetView zoomScale="150" zoomScaleNormal="150" workbookViewId="0">
      <selection activeCell="D2" sqref="D2"/>
    </sheetView>
  </sheetViews>
  <sheetFormatPr defaultRowHeight="14.4" x14ac:dyDescent="0.3"/>
  <cols>
    <col min="4" max="4" width="8.88671875" style="2"/>
  </cols>
  <sheetData>
    <row r="1" spans="1:4" x14ac:dyDescent="0.3">
      <c r="A1" s="1" t="s">
        <v>1</v>
      </c>
      <c r="B1" s="1" t="s">
        <v>2</v>
      </c>
      <c r="C1" s="1" t="s">
        <v>3</v>
      </c>
      <c r="D1" s="4" t="s">
        <v>4</v>
      </c>
    </row>
    <row r="2" spans="1:4" x14ac:dyDescent="0.3">
      <c r="A2">
        <v>6.5750000000000002</v>
      </c>
      <c r="B2">
        <v>4.9800000000000004</v>
      </c>
      <c r="C2">
        <v>15.3</v>
      </c>
      <c r="D2" s="2">
        <v>504000</v>
      </c>
    </row>
    <row r="3" spans="1:4" x14ac:dyDescent="0.3">
      <c r="A3">
        <v>6.4210000000000003</v>
      </c>
      <c r="B3">
        <v>9.14</v>
      </c>
      <c r="C3">
        <v>17.8</v>
      </c>
      <c r="D3" s="2">
        <v>453600</v>
      </c>
    </row>
    <row r="4" spans="1:4" x14ac:dyDescent="0.3">
      <c r="A4">
        <v>7.1849999999999996</v>
      </c>
      <c r="B4">
        <v>4.03</v>
      </c>
      <c r="C4">
        <v>17.8</v>
      </c>
      <c r="D4" s="2">
        <v>728700</v>
      </c>
    </row>
    <row r="5" spans="1:4" x14ac:dyDescent="0.3">
      <c r="A5">
        <v>6.9980000000000002</v>
      </c>
      <c r="B5">
        <v>2.94</v>
      </c>
      <c r="C5">
        <v>18.7</v>
      </c>
      <c r="D5" s="2">
        <v>701400</v>
      </c>
    </row>
    <row r="6" spans="1:4" x14ac:dyDescent="0.3">
      <c r="A6">
        <v>7.1470000000000002</v>
      </c>
      <c r="B6">
        <v>5.33</v>
      </c>
      <c r="C6">
        <v>18.7</v>
      </c>
      <c r="D6" s="2">
        <v>760200</v>
      </c>
    </row>
    <row r="7" spans="1:4" x14ac:dyDescent="0.3">
      <c r="A7">
        <v>6.43</v>
      </c>
      <c r="B7">
        <v>5.21</v>
      </c>
      <c r="C7">
        <v>18.7</v>
      </c>
      <c r="D7" s="2">
        <v>602700</v>
      </c>
    </row>
    <row r="8" spans="1:4" x14ac:dyDescent="0.3">
      <c r="A8">
        <v>6.0119999999999996</v>
      </c>
      <c r="B8">
        <v>12.43</v>
      </c>
      <c r="C8">
        <v>15.2</v>
      </c>
      <c r="D8" s="2">
        <v>480900</v>
      </c>
    </row>
    <row r="9" spans="1:4" x14ac:dyDescent="0.3">
      <c r="A9">
        <v>6.1719999999999997</v>
      </c>
      <c r="B9">
        <v>19.149999999999999</v>
      </c>
      <c r="C9">
        <v>15.2</v>
      </c>
      <c r="D9" s="2">
        <v>569100</v>
      </c>
    </row>
    <row r="10" spans="1:4" x14ac:dyDescent="0.3">
      <c r="A10">
        <v>5.6310000000000002</v>
      </c>
      <c r="B10">
        <v>29.93</v>
      </c>
      <c r="C10">
        <v>15.2</v>
      </c>
      <c r="D10" s="2">
        <v>346500</v>
      </c>
    </row>
    <row r="11" spans="1:4" x14ac:dyDescent="0.3">
      <c r="A11">
        <v>6.0039999999999996</v>
      </c>
      <c r="B11">
        <v>17.100000000000001</v>
      </c>
      <c r="C11">
        <v>15.2</v>
      </c>
      <c r="D11" s="2">
        <v>396900</v>
      </c>
    </row>
    <row r="12" spans="1:4" x14ac:dyDescent="0.3">
      <c r="A12">
        <v>6.3769999999999998</v>
      </c>
      <c r="B12">
        <v>20.45</v>
      </c>
      <c r="C12">
        <v>15.2</v>
      </c>
      <c r="D12" s="2">
        <v>315000</v>
      </c>
    </row>
    <row r="13" spans="1:4" x14ac:dyDescent="0.3">
      <c r="A13">
        <v>6.0090000000000003</v>
      </c>
      <c r="B13">
        <v>13.27</v>
      </c>
      <c r="C13">
        <v>15.2</v>
      </c>
      <c r="D13" s="2">
        <v>396900</v>
      </c>
    </row>
    <row r="14" spans="1:4" x14ac:dyDescent="0.3">
      <c r="A14">
        <v>5.8890000000000002</v>
      </c>
      <c r="B14">
        <v>15.71</v>
      </c>
      <c r="C14">
        <v>15.2</v>
      </c>
      <c r="D14" s="2">
        <v>455700</v>
      </c>
    </row>
    <row r="15" spans="1:4" x14ac:dyDescent="0.3">
      <c r="A15">
        <v>5.9489999999999998</v>
      </c>
      <c r="B15">
        <v>8.26</v>
      </c>
      <c r="C15">
        <v>21</v>
      </c>
      <c r="D15" s="2">
        <v>428400</v>
      </c>
    </row>
    <row r="16" spans="1:4" x14ac:dyDescent="0.3">
      <c r="A16">
        <v>6.0960000000000001</v>
      </c>
      <c r="B16">
        <v>10.26</v>
      </c>
      <c r="C16">
        <v>21</v>
      </c>
      <c r="D16" s="2">
        <v>382200</v>
      </c>
    </row>
    <row r="17" spans="1:4" x14ac:dyDescent="0.3">
      <c r="A17">
        <v>5.8339999999999996</v>
      </c>
      <c r="B17">
        <v>8.4700000000000006</v>
      </c>
      <c r="C17">
        <v>21</v>
      </c>
      <c r="D17" s="2">
        <v>417900</v>
      </c>
    </row>
    <row r="18" spans="1:4" x14ac:dyDescent="0.3">
      <c r="A18">
        <v>5.9349999999999996</v>
      </c>
      <c r="B18">
        <v>6.58</v>
      </c>
      <c r="C18">
        <v>21</v>
      </c>
      <c r="D18" s="2">
        <v>485100</v>
      </c>
    </row>
    <row r="19" spans="1:4" x14ac:dyDescent="0.3">
      <c r="A19">
        <v>5.99</v>
      </c>
      <c r="B19">
        <v>14.67</v>
      </c>
      <c r="C19">
        <v>21</v>
      </c>
      <c r="D19" s="2">
        <v>367500</v>
      </c>
    </row>
    <row r="20" spans="1:4" x14ac:dyDescent="0.3">
      <c r="A20">
        <v>5.4560000000000004</v>
      </c>
      <c r="B20">
        <v>11.69</v>
      </c>
      <c r="C20">
        <v>21</v>
      </c>
      <c r="D20" s="2">
        <v>424200</v>
      </c>
    </row>
    <row r="21" spans="1:4" x14ac:dyDescent="0.3">
      <c r="A21">
        <v>5.7270000000000003</v>
      </c>
      <c r="B21">
        <v>11.28</v>
      </c>
      <c r="C21">
        <v>21</v>
      </c>
      <c r="D21" s="2">
        <v>382200</v>
      </c>
    </row>
    <row r="22" spans="1:4" x14ac:dyDescent="0.3">
      <c r="A22">
        <v>5.57</v>
      </c>
      <c r="B22">
        <v>21.02</v>
      </c>
      <c r="C22">
        <v>21</v>
      </c>
      <c r="D22" s="2">
        <v>285600</v>
      </c>
    </row>
    <row r="23" spans="1:4" x14ac:dyDescent="0.3">
      <c r="A23">
        <v>5.9649999999999999</v>
      </c>
      <c r="B23">
        <v>13.83</v>
      </c>
      <c r="C23">
        <v>21</v>
      </c>
      <c r="D23" s="2">
        <v>411600</v>
      </c>
    </row>
    <row r="24" spans="1:4" x14ac:dyDescent="0.3">
      <c r="A24">
        <v>6.1420000000000003</v>
      </c>
      <c r="B24">
        <v>18.72</v>
      </c>
      <c r="C24">
        <v>21</v>
      </c>
      <c r="D24" s="2">
        <v>319200</v>
      </c>
    </row>
    <row r="25" spans="1:4" x14ac:dyDescent="0.3">
      <c r="A25">
        <v>5.8129999999999997</v>
      </c>
      <c r="B25">
        <v>19.88</v>
      </c>
      <c r="C25">
        <v>21</v>
      </c>
      <c r="D25" s="2">
        <v>304500</v>
      </c>
    </row>
    <row r="26" spans="1:4" x14ac:dyDescent="0.3">
      <c r="A26">
        <v>5.9240000000000004</v>
      </c>
      <c r="B26">
        <v>16.3</v>
      </c>
      <c r="C26">
        <v>21</v>
      </c>
      <c r="D26" s="2">
        <v>327600</v>
      </c>
    </row>
    <row r="27" spans="1:4" x14ac:dyDescent="0.3">
      <c r="A27">
        <v>5.5990000000000002</v>
      </c>
      <c r="B27">
        <v>16.510000000000002</v>
      </c>
      <c r="C27">
        <v>21</v>
      </c>
      <c r="D27" s="2">
        <v>291900</v>
      </c>
    </row>
    <row r="28" spans="1:4" x14ac:dyDescent="0.3">
      <c r="A28">
        <v>5.8129999999999997</v>
      </c>
      <c r="B28">
        <v>14.81</v>
      </c>
      <c r="C28">
        <v>21</v>
      </c>
      <c r="D28" s="2">
        <v>348600</v>
      </c>
    </row>
    <row r="29" spans="1:4" x14ac:dyDescent="0.3">
      <c r="A29">
        <v>6.0469999999999997</v>
      </c>
      <c r="B29">
        <v>17.28</v>
      </c>
      <c r="C29">
        <v>21</v>
      </c>
      <c r="D29" s="2">
        <v>310800</v>
      </c>
    </row>
    <row r="30" spans="1:4" x14ac:dyDescent="0.3">
      <c r="A30">
        <v>6.4950000000000001</v>
      </c>
      <c r="B30">
        <v>12.8</v>
      </c>
      <c r="C30">
        <v>21</v>
      </c>
      <c r="D30" s="2">
        <v>386400</v>
      </c>
    </row>
    <row r="31" spans="1:4" x14ac:dyDescent="0.3">
      <c r="A31">
        <v>6.6740000000000004</v>
      </c>
      <c r="B31">
        <v>11.98</v>
      </c>
      <c r="C31">
        <v>21</v>
      </c>
      <c r="D31" s="2">
        <v>441000</v>
      </c>
    </row>
    <row r="32" spans="1:4" x14ac:dyDescent="0.3">
      <c r="A32">
        <v>5.7130000000000001</v>
      </c>
      <c r="B32">
        <v>22.6</v>
      </c>
      <c r="C32">
        <v>21</v>
      </c>
      <c r="D32" s="2">
        <v>266700</v>
      </c>
    </row>
    <row r="33" spans="1:4" x14ac:dyDescent="0.3">
      <c r="A33">
        <v>6.0720000000000001</v>
      </c>
      <c r="B33">
        <v>13.04</v>
      </c>
      <c r="C33">
        <v>21</v>
      </c>
      <c r="D33" s="2">
        <v>304500</v>
      </c>
    </row>
    <row r="34" spans="1:4" x14ac:dyDescent="0.3">
      <c r="A34">
        <v>5.95</v>
      </c>
      <c r="B34">
        <v>27.71</v>
      </c>
      <c r="C34">
        <v>21</v>
      </c>
      <c r="D34" s="2">
        <v>277200</v>
      </c>
    </row>
    <row r="35" spans="1:4" x14ac:dyDescent="0.3">
      <c r="A35">
        <v>5.7009999999999996</v>
      </c>
      <c r="B35">
        <v>18.350000000000001</v>
      </c>
      <c r="C35">
        <v>21</v>
      </c>
      <c r="D35" s="2">
        <v>275100</v>
      </c>
    </row>
    <row r="36" spans="1:4" x14ac:dyDescent="0.3">
      <c r="A36">
        <v>6.0960000000000001</v>
      </c>
      <c r="B36">
        <v>20.34</v>
      </c>
      <c r="C36">
        <v>21</v>
      </c>
      <c r="D36" s="2">
        <v>283500</v>
      </c>
    </row>
    <row r="37" spans="1:4" x14ac:dyDescent="0.3">
      <c r="A37">
        <v>5.9329999999999998</v>
      </c>
      <c r="B37">
        <v>9.68</v>
      </c>
      <c r="C37">
        <v>19.2</v>
      </c>
      <c r="D37" s="2">
        <v>396900</v>
      </c>
    </row>
    <row r="38" spans="1:4" x14ac:dyDescent="0.3">
      <c r="A38">
        <v>5.8410000000000002</v>
      </c>
      <c r="B38">
        <v>11.41</v>
      </c>
      <c r="C38">
        <v>19.2</v>
      </c>
      <c r="D38" s="2">
        <v>420000</v>
      </c>
    </row>
    <row r="39" spans="1:4" x14ac:dyDescent="0.3">
      <c r="A39">
        <v>5.85</v>
      </c>
      <c r="B39">
        <v>8.77</v>
      </c>
      <c r="C39">
        <v>19.2</v>
      </c>
      <c r="D39" s="2">
        <v>441000</v>
      </c>
    </row>
    <row r="40" spans="1:4" x14ac:dyDescent="0.3">
      <c r="A40">
        <v>5.9660000000000002</v>
      </c>
      <c r="B40">
        <v>10.130000000000001</v>
      </c>
      <c r="C40">
        <v>19.2</v>
      </c>
      <c r="D40" s="2">
        <v>518700</v>
      </c>
    </row>
    <row r="41" spans="1:4" x14ac:dyDescent="0.3">
      <c r="A41">
        <v>6.5949999999999998</v>
      </c>
      <c r="B41">
        <v>4.32</v>
      </c>
      <c r="C41">
        <v>18.3</v>
      </c>
      <c r="D41" s="2">
        <v>646800</v>
      </c>
    </row>
    <row r="42" spans="1:4" x14ac:dyDescent="0.3">
      <c r="A42">
        <v>7.024</v>
      </c>
      <c r="B42">
        <v>1.98</v>
      </c>
      <c r="C42">
        <v>18.3</v>
      </c>
      <c r="D42" s="2">
        <v>732900</v>
      </c>
    </row>
    <row r="43" spans="1:4" x14ac:dyDescent="0.3">
      <c r="A43">
        <v>6.77</v>
      </c>
      <c r="B43">
        <v>4.84</v>
      </c>
      <c r="C43">
        <v>17.899999999999999</v>
      </c>
      <c r="D43" s="2">
        <v>558600</v>
      </c>
    </row>
    <row r="44" spans="1:4" x14ac:dyDescent="0.3">
      <c r="A44">
        <v>6.1689999999999996</v>
      </c>
      <c r="B44">
        <v>5.81</v>
      </c>
      <c r="C44">
        <v>17.899999999999999</v>
      </c>
      <c r="D44" s="2">
        <v>531300</v>
      </c>
    </row>
    <row r="45" spans="1:4" x14ac:dyDescent="0.3">
      <c r="A45">
        <v>6.2110000000000003</v>
      </c>
      <c r="B45">
        <v>7.44</v>
      </c>
      <c r="C45">
        <v>17.899999999999999</v>
      </c>
      <c r="D45" s="2">
        <v>518700</v>
      </c>
    </row>
    <row r="46" spans="1:4" x14ac:dyDescent="0.3">
      <c r="A46">
        <v>6.069</v>
      </c>
      <c r="B46">
        <v>9.5500000000000007</v>
      </c>
      <c r="C46">
        <v>17.899999999999999</v>
      </c>
      <c r="D46" s="2">
        <v>445200</v>
      </c>
    </row>
    <row r="47" spans="1:4" x14ac:dyDescent="0.3">
      <c r="A47">
        <v>5.6820000000000004</v>
      </c>
      <c r="B47">
        <v>10.210000000000001</v>
      </c>
      <c r="C47">
        <v>17.899999999999999</v>
      </c>
      <c r="D47" s="2">
        <v>405300</v>
      </c>
    </row>
    <row r="48" spans="1:4" x14ac:dyDescent="0.3">
      <c r="A48">
        <v>5.7859999999999996</v>
      </c>
      <c r="B48">
        <v>14.15</v>
      </c>
      <c r="C48">
        <v>17.899999999999999</v>
      </c>
      <c r="D48" s="2">
        <v>420000</v>
      </c>
    </row>
    <row r="49" spans="1:4" x14ac:dyDescent="0.3">
      <c r="A49">
        <v>6.03</v>
      </c>
      <c r="B49">
        <v>18.8</v>
      </c>
      <c r="C49">
        <v>17.899999999999999</v>
      </c>
      <c r="D49" s="2">
        <v>348600</v>
      </c>
    </row>
    <row r="50" spans="1:4" x14ac:dyDescent="0.3">
      <c r="A50">
        <v>5.399</v>
      </c>
      <c r="B50">
        <v>30.81</v>
      </c>
      <c r="C50">
        <v>17.899999999999999</v>
      </c>
      <c r="D50" s="2">
        <v>302400</v>
      </c>
    </row>
    <row r="51" spans="1:4" x14ac:dyDescent="0.3">
      <c r="A51">
        <v>5.6020000000000003</v>
      </c>
      <c r="B51">
        <v>16.2</v>
      </c>
      <c r="C51">
        <v>17.899999999999999</v>
      </c>
      <c r="D51" s="2">
        <v>407400</v>
      </c>
    </row>
    <row r="52" spans="1:4" x14ac:dyDescent="0.3">
      <c r="A52">
        <v>5.9630000000000001</v>
      </c>
      <c r="B52">
        <v>13.45</v>
      </c>
      <c r="C52">
        <v>16.8</v>
      </c>
      <c r="D52" s="2">
        <v>413700</v>
      </c>
    </row>
    <row r="53" spans="1:4" x14ac:dyDescent="0.3">
      <c r="A53">
        <v>6.1150000000000002</v>
      </c>
      <c r="B53">
        <v>9.43</v>
      </c>
      <c r="C53">
        <v>16.8</v>
      </c>
      <c r="D53" s="2">
        <v>430500</v>
      </c>
    </row>
    <row r="54" spans="1:4" x14ac:dyDescent="0.3">
      <c r="A54">
        <v>6.5110000000000001</v>
      </c>
      <c r="B54">
        <v>5.28</v>
      </c>
      <c r="C54">
        <v>16.8</v>
      </c>
      <c r="D54" s="2">
        <v>525000</v>
      </c>
    </row>
    <row r="55" spans="1:4" x14ac:dyDescent="0.3">
      <c r="A55">
        <v>5.9980000000000002</v>
      </c>
      <c r="B55">
        <v>8.43</v>
      </c>
      <c r="C55">
        <v>16.8</v>
      </c>
      <c r="D55" s="2">
        <v>491400</v>
      </c>
    </row>
    <row r="56" spans="1:4" x14ac:dyDescent="0.3">
      <c r="A56">
        <v>5.8879999999999999</v>
      </c>
      <c r="B56">
        <v>14.8</v>
      </c>
      <c r="C56">
        <v>21.1</v>
      </c>
      <c r="D56" s="2">
        <v>396900</v>
      </c>
    </row>
    <row r="57" spans="1:4" x14ac:dyDescent="0.3">
      <c r="A57">
        <v>7.2489999999999997</v>
      </c>
      <c r="B57">
        <v>4.8099999999999996</v>
      </c>
      <c r="C57">
        <v>17.899999999999999</v>
      </c>
      <c r="D57" s="2">
        <v>743400</v>
      </c>
    </row>
    <row r="58" spans="1:4" x14ac:dyDescent="0.3">
      <c r="A58">
        <v>6.383</v>
      </c>
      <c r="B58">
        <v>5.77</v>
      </c>
      <c r="C58">
        <v>17.3</v>
      </c>
      <c r="D58" s="2">
        <v>518700</v>
      </c>
    </row>
    <row r="59" spans="1:4" x14ac:dyDescent="0.3">
      <c r="A59">
        <v>6.8159999999999998</v>
      </c>
      <c r="B59">
        <v>3.95</v>
      </c>
      <c r="C59">
        <v>15.1</v>
      </c>
      <c r="D59" s="2">
        <v>663600</v>
      </c>
    </row>
    <row r="60" spans="1:4" x14ac:dyDescent="0.3">
      <c r="A60">
        <v>6.1449999999999996</v>
      </c>
      <c r="B60">
        <v>6.86</v>
      </c>
      <c r="C60">
        <v>19.7</v>
      </c>
      <c r="D60" s="2">
        <v>489300</v>
      </c>
    </row>
    <row r="61" spans="1:4" x14ac:dyDescent="0.3">
      <c r="A61">
        <v>5.9269999999999996</v>
      </c>
      <c r="B61">
        <v>9.2200000000000006</v>
      </c>
      <c r="C61">
        <v>19.7</v>
      </c>
      <c r="D61" s="2">
        <v>411600</v>
      </c>
    </row>
    <row r="62" spans="1:4" x14ac:dyDescent="0.3">
      <c r="A62">
        <v>5.7409999999999997</v>
      </c>
      <c r="B62">
        <v>13.15</v>
      </c>
      <c r="C62">
        <v>19.7</v>
      </c>
      <c r="D62" s="2">
        <v>392700</v>
      </c>
    </row>
    <row r="63" spans="1:4" x14ac:dyDescent="0.3">
      <c r="A63">
        <v>5.9660000000000002</v>
      </c>
      <c r="B63">
        <v>14.44</v>
      </c>
      <c r="C63">
        <v>19.7</v>
      </c>
      <c r="D63" s="2">
        <v>336000</v>
      </c>
    </row>
    <row r="64" spans="1:4" x14ac:dyDescent="0.3">
      <c r="A64">
        <v>6.4560000000000004</v>
      </c>
      <c r="B64">
        <v>6.73</v>
      </c>
      <c r="C64">
        <v>19.7</v>
      </c>
      <c r="D64" s="2">
        <v>466200</v>
      </c>
    </row>
    <row r="65" spans="1:4" x14ac:dyDescent="0.3">
      <c r="A65">
        <v>6.7619999999999996</v>
      </c>
      <c r="B65">
        <v>9.5</v>
      </c>
      <c r="C65">
        <v>19.7</v>
      </c>
      <c r="D65" s="2">
        <v>525000</v>
      </c>
    </row>
    <row r="66" spans="1:4" x14ac:dyDescent="0.3">
      <c r="A66">
        <v>7.1040000000000001</v>
      </c>
      <c r="B66">
        <v>8.0500000000000007</v>
      </c>
      <c r="C66">
        <v>18.600000000000001</v>
      </c>
      <c r="D66" s="2">
        <v>693000</v>
      </c>
    </row>
    <row r="67" spans="1:4" x14ac:dyDescent="0.3">
      <c r="A67">
        <v>6.29</v>
      </c>
      <c r="B67">
        <v>4.67</v>
      </c>
      <c r="C67">
        <v>16.100000000000001</v>
      </c>
      <c r="D67" s="2">
        <v>493500</v>
      </c>
    </row>
    <row r="68" spans="1:4" x14ac:dyDescent="0.3">
      <c r="A68">
        <v>5.7869999999999999</v>
      </c>
      <c r="B68">
        <v>10.24</v>
      </c>
      <c r="C68">
        <v>16.100000000000001</v>
      </c>
      <c r="D68" s="2">
        <v>407400</v>
      </c>
    </row>
    <row r="69" spans="1:4" x14ac:dyDescent="0.3">
      <c r="A69">
        <v>5.8780000000000001</v>
      </c>
      <c r="B69">
        <v>8.1</v>
      </c>
      <c r="C69">
        <v>18.899999999999999</v>
      </c>
      <c r="D69" s="2">
        <v>462000</v>
      </c>
    </row>
    <row r="70" spans="1:4" x14ac:dyDescent="0.3">
      <c r="A70">
        <v>5.5940000000000003</v>
      </c>
      <c r="B70">
        <v>13.09</v>
      </c>
      <c r="C70">
        <v>18.899999999999999</v>
      </c>
      <c r="D70" s="2">
        <v>365400</v>
      </c>
    </row>
    <row r="71" spans="1:4" x14ac:dyDescent="0.3">
      <c r="A71">
        <v>5.8849999999999998</v>
      </c>
      <c r="B71">
        <v>8.7899999999999991</v>
      </c>
      <c r="C71">
        <v>18.899999999999999</v>
      </c>
      <c r="D71" s="2">
        <v>438900</v>
      </c>
    </row>
    <row r="72" spans="1:4" x14ac:dyDescent="0.3">
      <c r="A72">
        <v>6.4169999999999998</v>
      </c>
      <c r="B72">
        <v>6.72</v>
      </c>
      <c r="C72">
        <v>19.2</v>
      </c>
      <c r="D72" s="2">
        <v>508200</v>
      </c>
    </row>
    <row r="73" spans="1:4" x14ac:dyDescent="0.3">
      <c r="A73">
        <v>5.9610000000000003</v>
      </c>
      <c r="B73">
        <v>9.8800000000000008</v>
      </c>
      <c r="C73">
        <v>19.2</v>
      </c>
      <c r="D73" s="2">
        <v>455700</v>
      </c>
    </row>
    <row r="74" spans="1:4" x14ac:dyDescent="0.3">
      <c r="A74">
        <v>6.0650000000000004</v>
      </c>
      <c r="B74">
        <v>5.52</v>
      </c>
      <c r="C74">
        <v>19.2</v>
      </c>
      <c r="D74" s="2">
        <v>478800</v>
      </c>
    </row>
    <row r="75" spans="1:4" x14ac:dyDescent="0.3">
      <c r="A75">
        <v>6.2450000000000001</v>
      </c>
      <c r="B75">
        <v>7.54</v>
      </c>
      <c r="C75">
        <v>19.2</v>
      </c>
      <c r="D75" s="2">
        <v>491400</v>
      </c>
    </row>
    <row r="76" spans="1:4" x14ac:dyDescent="0.3">
      <c r="A76">
        <v>6.2729999999999997</v>
      </c>
      <c r="B76">
        <v>6.78</v>
      </c>
      <c r="C76">
        <v>18.7</v>
      </c>
      <c r="D76" s="2">
        <v>506100</v>
      </c>
    </row>
    <row r="77" spans="1:4" x14ac:dyDescent="0.3">
      <c r="A77">
        <v>6.2859999999999996</v>
      </c>
      <c r="B77">
        <v>8.94</v>
      </c>
      <c r="C77">
        <v>18.7</v>
      </c>
      <c r="D77" s="2">
        <v>449400</v>
      </c>
    </row>
    <row r="78" spans="1:4" x14ac:dyDescent="0.3">
      <c r="A78">
        <v>6.2789999999999999</v>
      </c>
      <c r="B78">
        <v>11.97</v>
      </c>
      <c r="C78">
        <v>18.7</v>
      </c>
      <c r="D78" s="2">
        <v>420000</v>
      </c>
    </row>
    <row r="79" spans="1:4" x14ac:dyDescent="0.3">
      <c r="A79">
        <v>6.14</v>
      </c>
      <c r="B79">
        <v>10.27</v>
      </c>
      <c r="C79">
        <v>18.7</v>
      </c>
      <c r="D79" s="2">
        <v>436800</v>
      </c>
    </row>
    <row r="80" spans="1:4" x14ac:dyDescent="0.3">
      <c r="A80">
        <v>6.2320000000000002</v>
      </c>
      <c r="B80">
        <v>12.34</v>
      </c>
      <c r="C80">
        <v>18.7</v>
      </c>
      <c r="D80" s="2">
        <v>445200</v>
      </c>
    </row>
    <row r="81" spans="1:4" x14ac:dyDescent="0.3">
      <c r="A81">
        <v>5.8739999999999997</v>
      </c>
      <c r="B81">
        <v>9.1</v>
      </c>
      <c r="C81">
        <v>18.7</v>
      </c>
      <c r="D81" s="2">
        <v>426300</v>
      </c>
    </row>
    <row r="82" spans="1:4" x14ac:dyDescent="0.3">
      <c r="A82">
        <v>6.7270000000000003</v>
      </c>
      <c r="B82">
        <v>5.29</v>
      </c>
      <c r="C82">
        <v>19</v>
      </c>
      <c r="D82" s="2">
        <v>588000</v>
      </c>
    </row>
    <row r="83" spans="1:4" x14ac:dyDescent="0.3">
      <c r="A83">
        <v>6.6189999999999998</v>
      </c>
      <c r="B83">
        <v>7.22</v>
      </c>
      <c r="C83">
        <v>19</v>
      </c>
      <c r="D83" s="2">
        <v>501900</v>
      </c>
    </row>
    <row r="84" spans="1:4" x14ac:dyDescent="0.3">
      <c r="A84">
        <v>6.3019999999999996</v>
      </c>
      <c r="B84">
        <v>6.72</v>
      </c>
      <c r="C84">
        <v>19</v>
      </c>
      <c r="D84" s="2">
        <v>520800</v>
      </c>
    </row>
    <row r="85" spans="1:4" x14ac:dyDescent="0.3">
      <c r="A85">
        <v>6.1669999999999998</v>
      </c>
      <c r="B85">
        <v>7.51</v>
      </c>
      <c r="C85">
        <v>19</v>
      </c>
      <c r="D85" s="2">
        <v>480900</v>
      </c>
    </row>
    <row r="86" spans="1:4" x14ac:dyDescent="0.3">
      <c r="A86">
        <v>6.3890000000000002</v>
      </c>
      <c r="B86">
        <v>9.6199999999999992</v>
      </c>
      <c r="C86">
        <v>18.5</v>
      </c>
      <c r="D86" s="2">
        <v>501900</v>
      </c>
    </row>
    <row r="87" spans="1:4" x14ac:dyDescent="0.3">
      <c r="A87">
        <v>6.63</v>
      </c>
      <c r="B87">
        <v>6.53</v>
      </c>
      <c r="C87">
        <v>18.5</v>
      </c>
      <c r="D87" s="2">
        <v>558600</v>
      </c>
    </row>
    <row r="88" spans="1:4" x14ac:dyDescent="0.3">
      <c r="A88">
        <v>6.0149999999999997</v>
      </c>
      <c r="B88">
        <v>12.86</v>
      </c>
      <c r="C88">
        <v>18.5</v>
      </c>
      <c r="D88" s="2">
        <v>472500</v>
      </c>
    </row>
    <row r="89" spans="1:4" x14ac:dyDescent="0.3">
      <c r="A89">
        <v>6.1210000000000004</v>
      </c>
      <c r="B89">
        <v>8.44</v>
      </c>
      <c r="C89">
        <v>18.5</v>
      </c>
      <c r="D89" s="2">
        <v>466200</v>
      </c>
    </row>
    <row r="90" spans="1:4" x14ac:dyDescent="0.3">
      <c r="A90">
        <v>7.0069999999999997</v>
      </c>
      <c r="B90">
        <v>5.5</v>
      </c>
      <c r="C90">
        <v>17.8</v>
      </c>
      <c r="D90" s="2">
        <v>495600</v>
      </c>
    </row>
    <row r="91" spans="1:4" x14ac:dyDescent="0.3">
      <c r="A91">
        <v>7.0789999999999997</v>
      </c>
      <c r="B91">
        <v>5.7</v>
      </c>
      <c r="C91">
        <v>17.8</v>
      </c>
      <c r="D91" s="2">
        <v>602700</v>
      </c>
    </row>
    <row r="92" spans="1:4" x14ac:dyDescent="0.3">
      <c r="A92">
        <v>6.4169999999999998</v>
      </c>
      <c r="B92">
        <v>8.81</v>
      </c>
      <c r="C92">
        <v>17.8</v>
      </c>
      <c r="D92" s="2">
        <v>474600</v>
      </c>
    </row>
    <row r="93" spans="1:4" x14ac:dyDescent="0.3">
      <c r="A93">
        <v>6.4050000000000002</v>
      </c>
      <c r="B93">
        <v>8.1999999999999993</v>
      </c>
      <c r="C93">
        <v>17.8</v>
      </c>
      <c r="D93" s="2">
        <v>462000</v>
      </c>
    </row>
    <row r="94" spans="1:4" x14ac:dyDescent="0.3">
      <c r="A94">
        <v>6.4420000000000002</v>
      </c>
      <c r="B94">
        <v>8.16</v>
      </c>
      <c r="C94">
        <v>18.2</v>
      </c>
      <c r="D94" s="2">
        <v>480900</v>
      </c>
    </row>
    <row r="95" spans="1:4" x14ac:dyDescent="0.3">
      <c r="A95">
        <v>6.2110000000000003</v>
      </c>
      <c r="B95">
        <v>6.21</v>
      </c>
      <c r="C95">
        <v>18.2</v>
      </c>
      <c r="D95" s="2">
        <v>525000</v>
      </c>
    </row>
    <row r="96" spans="1:4" x14ac:dyDescent="0.3">
      <c r="A96">
        <v>6.2489999999999997</v>
      </c>
      <c r="B96">
        <v>10.59</v>
      </c>
      <c r="C96">
        <v>18.2</v>
      </c>
      <c r="D96" s="2">
        <v>432600</v>
      </c>
    </row>
    <row r="97" spans="1:4" x14ac:dyDescent="0.3">
      <c r="A97">
        <v>6.625</v>
      </c>
      <c r="B97">
        <v>6.65</v>
      </c>
      <c r="C97">
        <v>18</v>
      </c>
      <c r="D97" s="2">
        <v>596400</v>
      </c>
    </row>
    <row r="98" spans="1:4" x14ac:dyDescent="0.3">
      <c r="A98">
        <v>6.1630000000000003</v>
      </c>
      <c r="B98">
        <v>11.34</v>
      </c>
      <c r="C98">
        <v>18</v>
      </c>
      <c r="D98" s="2">
        <v>449400</v>
      </c>
    </row>
    <row r="99" spans="1:4" x14ac:dyDescent="0.3">
      <c r="A99">
        <v>8.0690000000000008</v>
      </c>
      <c r="B99">
        <v>4.21</v>
      </c>
      <c r="C99">
        <v>18</v>
      </c>
      <c r="D99" s="2">
        <v>812700</v>
      </c>
    </row>
    <row r="100" spans="1:4" x14ac:dyDescent="0.3">
      <c r="A100">
        <v>7.82</v>
      </c>
      <c r="B100">
        <v>3.57</v>
      </c>
      <c r="C100">
        <v>18</v>
      </c>
      <c r="D100" s="2">
        <v>919800</v>
      </c>
    </row>
    <row r="101" spans="1:4" x14ac:dyDescent="0.3">
      <c r="A101">
        <v>7.4160000000000004</v>
      </c>
      <c r="B101">
        <v>6.19</v>
      </c>
      <c r="C101">
        <v>18</v>
      </c>
      <c r="D101" s="2">
        <v>697200</v>
      </c>
    </row>
    <row r="102" spans="1:4" x14ac:dyDescent="0.3">
      <c r="A102">
        <v>6.7270000000000003</v>
      </c>
      <c r="B102">
        <v>9.42</v>
      </c>
      <c r="C102">
        <v>20.9</v>
      </c>
      <c r="D102" s="2">
        <v>577500</v>
      </c>
    </row>
    <row r="103" spans="1:4" x14ac:dyDescent="0.3">
      <c r="A103">
        <v>6.7809999999999997</v>
      </c>
      <c r="B103">
        <v>7.67</v>
      </c>
      <c r="C103">
        <v>20.9</v>
      </c>
      <c r="D103" s="2">
        <v>556500</v>
      </c>
    </row>
    <row r="104" spans="1:4" x14ac:dyDescent="0.3">
      <c r="A104">
        <v>6.4050000000000002</v>
      </c>
      <c r="B104">
        <v>10.63</v>
      </c>
      <c r="C104">
        <v>20.9</v>
      </c>
      <c r="D104" s="2">
        <v>390600</v>
      </c>
    </row>
    <row r="105" spans="1:4" x14ac:dyDescent="0.3">
      <c r="A105">
        <v>6.1369999999999996</v>
      </c>
      <c r="B105">
        <v>13.44</v>
      </c>
      <c r="C105">
        <v>20.9</v>
      </c>
      <c r="D105" s="2">
        <v>405300</v>
      </c>
    </row>
    <row r="106" spans="1:4" x14ac:dyDescent="0.3">
      <c r="A106">
        <v>6.1669999999999998</v>
      </c>
      <c r="B106">
        <v>12.33</v>
      </c>
      <c r="C106">
        <v>20.9</v>
      </c>
      <c r="D106" s="2">
        <v>422100</v>
      </c>
    </row>
    <row r="107" spans="1:4" x14ac:dyDescent="0.3">
      <c r="A107">
        <v>5.851</v>
      </c>
      <c r="B107">
        <v>16.47</v>
      </c>
      <c r="C107">
        <v>20.9</v>
      </c>
      <c r="D107" s="2">
        <v>409500</v>
      </c>
    </row>
    <row r="108" spans="1:4" x14ac:dyDescent="0.3">
      <c r="A108">
        <v>5.8360000000000003</v>
      </c>
      <c r="B108">
        <v>18.66</v>
      </c>
      <c r="C108">
        <v>20.9</v>
      </c>
      <c r="D108" s="2">
        <v>409500</v>
      </c>
    </row>
    <row r="109" spans="1:4" x14ac:dyDescent="0.3">
      <c r="A109">
        <v>6.1269999999999998</v>
      </c>
      <c r="B109">
        <v>14.09</v>
      </c>
      <c r="C109">
        <v>20.9</v>
      </c>
      <c r="D109" s="2">
        <v>428400</v>
      </c>
    </row>
    <row r="110" spans="1:4" x14ac:dyDescent="0.3">
      <c r="A110">
        <v>6.4740000000000002</v>
      </c>
      <c r="B110">
        <v>12.27</v>
      </c>
      <c r="C110">
        <v>20.9</v>
      </c>
      <c r="D110" s="2">
        <v>415800</v>
      </c>
    </row>
    <row r="111" spans="1:4" x14ac:dyDescent="0.3">
      <c r="A111">
        <v>6.2290000000000001</v>
      </c>
      <c r="B111">
        <v>15.55</v>
      </c>
      <c r="C111">
        <v>20.9</v>
      </c>
      <c r="D111" s="2">
        <v>407400</v>
      </c>
    </row>
    <row r="112" spans="1:4" x14ac:dyDescent="0.3">
      <c r="A112">
        <v>6.1950000000000003</v>
      </c>
      <c r="B112">
        <v>13</v>
      </c>
      <c r="C112">
        <v>20.9</v>
      </c>
      <c r="D112" s="2">
        <v>455700</v>
      </c>
    </row>
    <row r="113" spans="1:4" x14ac:dyDescent="0.3">
      <c r="A113">
        <v>6.7149999999999999</v>
      </c>
      <c r="B113">
        <v>10.16</v>
      </c>
      <c r="C113">
        <v>17.8</v>
      </c>
      <c r="D113" s="2">
        <v>478800</v>
      </c>
    </row>
    <row r="114" spans="1:4" x14ac:dyDescent="0.3">
      <c r="A114">
        <v>5.9130000000000003</v>
      </c>
      <c r="B114">
        <v>16.21</v>
      </c>
      <c r="C114">
        <v>17.8</v>
      </c>
      <c r="D114" s="2">
        <v>394800</v>
      </c>
    </row>
    <row r="115" spans="1:4" x14ac:dyDescent="0.3">
      <c r="A115">
        <v>6.0919999999999996</v>
      </c>
      <c r="B115">
        <v>17.09</v>
      </c>
      <c r="C115">
        <v>17.8</v>
      </c>
      <c r="D115" s="2">
        <v>392700</v>
      </c>
    </row>
    <row r="116" spans="1:4" x14ac:dyDescent="0.3">
      <c r="A116">
        <v>6.2539999999999996</v>
      </c>
      <c r="B116">
        <v>10.45</v>
      </c>
      <c r="C116">
        <v>17.8</v>
      </c>
      <c r="D116" s="2">
        <v>388500</v>
      </c>
    </row>
    <row r="117" spans="1:4" x14ac:dyDescent="0.3">
      <c r="A117">
        <v>5.9279999999999999</v>
      </c>
      <c r="B117">
        <v>15.76</v>
      </c>
      <c r="C117">
        <v>17.8</v>
      </c>
      <c r="D117" s="2">
        <v>384300</v>
      </c>
    </row>
    <row r="118" spans="1:4" x14ac:dyDescent="0.3">
      <c r="A118">
        <v>6.1760000000000002</v>
      </c>
      <c r="B118">
        <v>12.04</v>
      </c>
      <c r="C118">
        <v>17.8</v>
      </c>
      <c r="D118" s="2">
        <v>445200</v>
      </c>
    </row>
    <row r="119" spans="1:4" x14ac:dyDescent="0.3">
      <c r="A119">
        <v>6.0209999999999999</v>
      </c>
      <c r="B119">
        <v>10.3</v>
      </c>
      <c r="C119">
        <v>17.8</v>
      </c>
      <c r="D119" s="2">
        <v>403200</v>
      </c>
    </row>
    <row r="120" spans="1:4" x14ac:dyDescent="0.3">
      <c r="A120">
        <v>5.8719999999999999</v>
      </c>
      <c r="B120">
        <v>15.37</v>
      </c>
      <c r="C120">
        <v>17.8</v>
      </c>
      <c r="D120" s="2">
        <v>428400</v>
      </c>
    </row>
    <row r="121" spans="1:4" x14ac:dyDescent="0.3">
      <c r="A121">
        <v>5.7309999999999999</v>
      </c>
      <c r="B121">
        <v>13.61</v>
      </c>
      <c r="C121">
        <v>17.8</v>
      </c>
      <c r="D121" s="2">
        <v>405300</v>
      </c>
    </row>
    <row r="122" spans="1:4" x14ac:dyDescent="0.3">
      <c r="A122">
        <v>5.87</v>
      </c>
      <c r="B122">
        <v>14.37</v>
      </c>
      <c r="C122">
        <v>19.100000000000001</v>
      </c>
      <c r="D122" s="2">
        <v>462000</v>
      </c>
    </row>
    <row r="123" spans="1:4" x14ac:dyDescent="0.3">
      <c r="A123">
        <v>6.0039999999999996</v>
      </c>
      <c r="B123">
        <v>14.27</v>
      </c>
      <c r="C123">
        <v>19.100000000000001</v>
      </c>
      <c r="D123" s="2">
        <v>426300</v>
      </c>
    </row>
    <row r="124" spans="1:4" x14ac:dyDescent="0.3">
      <c r="A124">
        <v>5.9610000000000003</v>
      </c>
      <c r="B124">
        <v>17.93</v>
      </c>
      <c r="C124">
        <v>19.100000000000001</v>
      </c>
      <c r="D124" s="2">
        <v>430500</v>
      </c>
    </row>
    <row r="125" spans="1:4" x14ac:dyDescent="0.3">
      <c r="A125">
        <v>5.8559999999999999</v>
      </c>
      <c r="B125">
        <v>25.41</v>
      </c>
      <c r="C125">
        <v>19.100000000000001</v>
      </c>
      <c r="D125" s="2">
        <v>363300</v>
      </c>
    </row>
    <row r="126" spans="1:4" x14ac:dyDescent="0.3">
      <c r="A126">
        <v>5.8789999999999996</v>
      </c>
      <c r="B126">
        <v>17.579999999999998</v>
      </c>
      <c r="C126">
        <v>19.100000000000001</v>
      </c>
      <c r="D126" s="2">
        <v>394800</v>
      </c>
    </row>
    <row r="127" spans="1:4" x14ac:dyDescent="0.3">
      <c r="A127">
        <v>5.9859999999999998</v>
      </c>
      <c r="B127">
        <v>14.81</v>
      </c>
      <c r="C127">
        <v>19.100000000000001</v>
      </c>
      <c r="D127" s="2">
        <v>449400</v>
      </c>
    </row>
    <row r="128" spans="1:4" x14ac:dyDescent="0.3">
      <c r="A128">
        <v>5.6130000000000004</v>
      </c>
      <c r="B128">
        <v>27.26</v>
      </c>
      <c r="C128">
        <v>19.100000000000001</v>
      </c>
      <c r="D128" s="2">
        <v>329700</v>
      </c>
    </row>
    <row r="129" spans="1:4" x14ac:dyDescent="0.3">
      <c r="A129">
        <v>5.6929999999999996</v>
      </c>
      <c r="B129">
        <v>17.190000000000001</v>
      </c>
      <c r="C129">
        <v>21.2</v>
      </c>
      <c r="D129" s="2">
        <v>340200</v>
      </c>
    </row>
    <row r="130" spans="1:4" x14ac:dyDescent="0.3">
      <c r="A130">
        <v>6.431</v>
      </c>
      <c r="B130">
        <v>15.39</v>
      </c>
      <c r="C130">
        <v>21.2</v>
      </c>
      <c r="D130" s="2">
        <v>378000</v>
      </c>
    </row>
    <row r="131" spans="1:4" x14ac:dyDescent="0.3">
      <c r="A131">
        <v>5.6369999999999996</v>
      </c>
      <c r="B131">
        <v>18.34</v>
      </c>
      <c r="C131">
        <v>21.2</v>
      </c>
      <c r="D131" s="2">
        <v>300300</v>
      </c>
    </row>
    <row r="132" spans="1:4" x14ac:dyDescent="0.3">
      <c r="A132">
        <v>6.4580000000000002</v>
      </c>
      <c r="B132">
        <v>12.6</v>
      </c>
      <c r="C132">
        <v>21.2</v>
      </c>
      <c r="D132" s="2">
        <v>403200</v>
      </c>
    </row>
    <row r="133" spans="1:4" x14ac:dyDescent="0.3">
      <c r="A133">
        <v>6.3259999999999996</v>
      </c>
      <c r="B133">
        <v>12.26</v>
      </c>
      <c r="C133">
        <v>21.2</v>
      </c>
      <c r="D133" s="2">
        <v>411600</v>
      </c>
    </row>
    <row r="134" spans="1:4" x14ac:dyDescent="0.3">
      <c r="A134">
        <v>6.3719999999999999</v>
      </c>
      <c r="B134">
        <v>11.12</v>
      </c>
      <c r="C134">
        <v>21.2</v>
      </c>
      <c r="D134" s="2">
        <v>483000</v>
      </c>
    </row>
    <row r="135" spans="1:4" x14ac:dyDescent="0.3">
      <c r="A135">
        <v>5.8220000000000001</v>
      </c>
      <c r="B135">
        <v>15.03</v>
      </c>
      <c r="C135">
        <v>21.2</v>
      </c>
      <c r="D135" s="2">
        <v>386400</v>
      </c>
    </row>
    <row r="136" spans="1:4" x14ac:dyDescent="0.3">
      <c r="A136">
        <v>5.7569999999999997</v>
      </c>
      <c r="B136">
        <v>17.309999999999999</v>
      </c>
      <c r="C136">
        <v>21.2</v>
      </c>
      <c r="D136" s="2">
        <v>327600</v>
      </c>
    </row>
    <row r="137" spans="1:4" x14ac:dyDescent="0.3">
      <c r="A137">
        <v>6.335</v>
      </c>
      <c r="B137">
        <v>16.96</v>
      </c>
      <c r="C137">
        <v>21.2</v>
      </c>
      <c r="D137" s="2">
        <v>380100</v>
      </c>
    </row>
    <row r="138" spans="1:4" x14ac:dyDescent="0.3">
      <c r="A138">
        <v>5.9420000000000002</v>
      </c>
      <c r="B138">
        <v>16.899999999999999</v>
      </c>
      <c r="C138">
        <v>21.2</v>
      </c>
      <c r="D138" s="2">
        <v>365400</v>
      </c>
    </row>
    <row r="139" spans="1:4" x14ac:dyDescent="0.3">
      <c r="A139">
        <v>6.4539999999999997</v>
      </c>
      <c r="B139">
        <v>14.59</v>
      </c>
      <c r="C139">
        <v>21.2</v>
      </c>
      <c r="D139" s="2">
        <v>359100</v>
      </c>
    </row>
    <row r="140" spans="1:4" x14ac:dyDescent="0.3">
      <c r="A140">
        <v>5.8570000000000002</v>
      </c>
      <c r="B140">
        <v>21.32</v>
      </c>
      <c r="C140">
        <v>21.2</v>
      </c>
      <c r="D140" s="2">
        <v>279300</v>
      </c>
    </row>
    <row r="141" spans="1:4" x14ac:dyDescent="0.3">
      <c r="A141">
        <v>6.1509999999999998</v>
      </c>
      <c r="B141">
        <v>18.46</v>
      </c>
      <c r="C141">
        <v>21.2</v>
      </c>
      <c r="D141" s="2">
        <v>373800</v>
      </c>
    </row>
    <row r="142" spans="1:4" x14ac:dyDescent="0.3">
      <c r="A142">
        <v>6.1740000000000004</v>
      </c>
      <c r="B142">
        <v>24.16</v>
      </c>
      <c r="C142">
        <v>21.2</v>
      </c>
      <c r="D142" s="2">
        <v>294000</v>
      </c>
    </row>
    <row r="143" spans="1:4" x14ac:dyDescent="0.3">
      <c r="A143">
        <v>5.0190000000000001</v>
      </c>
      <c r="B143">
        <v>34.409999999999997</v>
      </c>
      <c r="C143">
        <v>21.2</v>
      </c>
      <c r="D143" s="2">
        <v>302400</v>
      </c>
    </row>
    <row r="144" spans="1:4" x14ac:dyDescent="0.3">
      <c r="A144">
        <v>5.4029999999999996</v>
      </c>
      <c r="B144">
        <v>26.82</v>
      </c>
      <c r="C144">
        <v>14.7</v>
      </c>
      <c r="D144" s="2">
        <v>281400</v>
      </c>
    </row>
    <row r="145" spans="1:4" x14ac:dyDescent="0.3">
      <c r="A145">
        <v>5.468</v>
      </c>
      <c r="B145">
        <v>26.42</v>
      </c>
      <c r="C145">
        <v>14.7</v>
      </c>
      <c r="D145" s="2">
        <v>327600</v>
      </c>
    </row>
    <row r="146" spans="1:4" x14ac:dyDescent="0.3">
      <c r="A146">
        <v>4.9029999999999996</v>
      </c>
      <c r="B146">
        <v>29.29</v>
      </c>
      <c r="C146">
        <v>14.7</v>
      </c>
      <c r="D146" s="2">
        <v>247800</v>
      </c>
    </row>
    <row r="147" spans="1:4" x14ac:dyDescent="0.3">
      <c r="A147">
        <v>6.13</v>
      </c>
      <c r="B147">
        <v>27.8</v>
      </c>
      <c r="C147">
        <v>14.7</v>
      </c>
      <c r="D147" s="2">
        <v>289800</v>
      </c>
    </row>
    <row r="148" spans="1:4" x14ac:dyDescent="0.3">
      <c r="A148">
        <v>5.6280000000000001</v>
      </c>
      <c r="B148">
        <v>16.649999999999999</v>
      </c>
      <c r="C148">
        <v>14.7</v>
      </c>
      <c r="D148" s="2">
        <v>327600</v>
      </c>
    </row>
    <row r="149" spans="1:4" x14ac:dyDescent="0.3">
      <c r="A149">
        <v>4.9260000000000002</v>
      </c>
      <c r="B149">
        <v>29.53</v>
      </c>
      <c r="C149">
        <v>14.7</v>
      </c>
      <c r="D149" s="2">
        <v>306600</v>
      </c>
    </row>
    <row r="150" spans="1:4" x14ac:dyDescent="0.3">
      <c r="A150">
        <v>5.1859999999999999</v>
      </c>
      <c r="B150">
        <v>28.32</v>
      </c>
      <c r="C150">
        <v>14.7</v>
      </c>
      <c r="D150" s="2">
        <v>373800</v>
      </c>
    </row>
    <row r="151" spans="1:4" x14ac:dyDescent="0.3">
      <c r="A151">
        <v>5.5970000000000004</v>
      </c>
      <c r="B151">
        <v>21.45</v>
      </c>
      <c r="C151">
        <v>14.7</v>
      </c>
      <c r="D151" s="2">
        <v>323400</v>
      </c>
    </row>
    <row r="152" spans="1:4" x14ac:dyDescent="0.3">
      <c r="A152">
        <v>6.1219999999999999</v>
      </c>
      <c r="B152">
        <v>14.1</v>
      </c>
      <c r="C152">
        <v>14.7</v>
      </c>
      <c r="D152" s="2">
        <v>451500</v>
      </c>
    </row>
    <row r="153" spans="1:4" x14ac:dyDescent="0.3">
      <c r="A153">
        <v>5.4039999999999999</v>
      </c>
      <c r="B153">
        <v>13.28</v>
      </c>
      <c r="C153">
        <v>14.7</v>
      </c>
      <c r="D153" s="2">
        <v>411600</v>
      </c>
    </row>
    <row r="154" spans="1:4" x14ac:dyDescent="0.3">
      <c r="A154">
        <v>5.0119999999999996</v>
      </c>
      <c r="B154">
        <v>12.12</v>
      </c>
      <c r="C154">
        <v>14.7</v>
      </c>
      <c r="D154" s="2">
        <v>321300</v>
      </c>
    </row>
    <row r="155" spans="1:4" x14ac:dyDescent="0.3">
      <c r="A155">
        <v>5.7089999999999996</v>
      </c>
      <c r="B155">
        <v>15.79</v>
      </c>
      <c r="C155">
        <v>14.7</v>
      </c>
      <c r="D155" s="2">
        <v>407400</v>
      </c>
    </row>
    <row r="156" spans="1:4" x14ac:dyDescent="0.3">
      <c r="A156">
        <v>6.1289999999999996</v>
      </c>
      <c r="B156">
        <v>15.12</v>
      </c>
      <c r="C156">
        <v>14.7</v>
      </c>
      <c r="D156" s="2">
        <v>357000</v>
      </c>
    </row>
    <row r="157" spans="1:4" x14ac:dyDescent="0.3">
      <c r="A157">
        <v>6.1520000000000001</v>
      </c>
      <c r="B157">
        <v>15.02</v>
      </c>
      <c r="C157">
        <v>14.7</v>
      </c>
      <c r="D157" s="2">
        <v>327600</v>
      </c>
    </row>
    <row r="158" spans="1:4" x14ac:dyDescent="0.3">
      <c r="A158">
        <v>5.2720000000000002</v>
      </c>
      <c r="B158">
        <v>16.14</v>
      </c>
      <c r="C158">
        <v>14.7</v>
      </c>
      <c r="D158" s="2">
        <v>275100</v>
      </c>
    </row>
    <row r="159" spans="1:4" x14ac:dyDescent="0.3">
      <c r="A159">
        <v>6.9429999999999996</v>
      </c>
      <c r="B159">
        <v>4.59</v>
      </c>
      <c r="C159">
        <v>14.7</v>
      </c>
      <c r="D159" s="2">
        <v>867300</v>
      </c>
    </row>
    <row r="160" spans="1:4" x14ac:dyDescent="0.3">
      <c r="A160">
        <v>6.0659999999999998</v>
      </c>
      <c r="B160">
        <v>6.43</v>
      </c>
      <c r="C160">
        <v>14.7</v>
      </c>
      <c r="D160" s="2">
        <v>510300</v>
      </c>
    </row>
    <row r="161" spans="1:4" x14ac:dyDescent="0.3">
      <c r="A161">
        <v>6.51</v>
      </c>
      <c r="B161">
        <v>7.39</v>
      </c>
      <c r="C161">
        <v>14.7</v>
      </c>
      <c r="D161" s="2">
        <v>489300</v>
      </c>
    </row>
    <row r="162" spans="1:4" x14ac:dyDescent="0.3">
      <c r="A162">
        <v>6.25</v>
      </c>
      <c r="B162">
        <v>5.5</v>
      </c>
      <c r="C162">
        <v>14.7</v>
      </c>
      <c r="D162" s="2">
        <v>567000</v>
      </c>
    </row>
    <row r="163" spans="1:4" x14ac:dyDescent="0.3">
      <c r="A163">
        <v>5.8540000000000001</v>
      </c>
      <c r="B163">
        <v>11.64</v>
      </c>
      <c r="C163">
        <v>14.7</v>
      </c>
      <c r="D163" s="2">
        <v>476700</v>
      </c>
    </row>
    <row r="164" spans="1:4" x14ac:dyDescent="0.3">
      <c r="A164">
        <v>6.101</v>
      </c>
      <c r="B164">
        <v>9.81</v>
      </c>
      <c r="C164">
        <v>14.7</v>
      </c>
      <c r="D164" s="2">
        <v>525000</v>
      </c>
    </row>
    <row r="165" spans="1:4" x14ac:dyDescent="0.3">
      <c r="A165">
        <v>5.8769999999999998</v>
      </c>
      <c r="B165">
        <v>12.14</v>
      </c>
      <c r="C165">
        <v>14.7</v>
      </c>
      <c r="D165" s="2">
        <v>499800</v>
      </c>
    </row>
    <row r="166" spans="1:4" x14ac:dyDescent="0.3">
      <c r="A166">
        <v>6.319</v>
      </c>
      <c r="B166">
        <v>11.1</v>
      </c>
      <c r="C166">
        <v>14.7</v>
      </c>
      <c r="D166" s="2">
        <v>499800</v>
      </c>
    </row>
    <row r="167" spans="1:4" x14ac:dyDescent="0.3">
      <c r="A167">
        <v>6.4020000000000001</v>
      </c>
      <c r="B167">
        <v>11.32</v>
      </c>
      <c r="C167">
        <v>14.7</v>
      </c>
      <c r="D167" s="2">
        <v>468300</v>
      </c>
    </row>
    <row r="168" spans="1:4" x14ac:dyDescent="0.3">
      <c r="A168">
        <v>5.875</v>
      </c>
      <c r="B168">
        <v>14.43</v>
      </c>
      <c r="C168">
        <v>14.7</v>
      </c>
      <c r="D168" s="2">
        <v>365400</v>
      </c>
    </row>
    <row r="169" spans="1:4" x14ac:dyDescent="0.3">
      <c r="A169">
        <v>5.88</v>
      </c>
      <c r="B169">
        <v>12.03</v>
      </c>
      <c r="C169">
        <v>14.7</v>
      </c>
      <c r="D169" s="2">
        <v>401100</v>
      </c>
    </row>
    <row r="170" spans="1:4" x14ac:dyDescent="0.3">
      <c r="A170">
        <v>5.5720000000000001</v>
      </c>
      <c r="B170">
        <v>14.69</v>
      </c>
      <c r="C170">
        <v>16.600000000000001</v>
      </c>
      <c r="D170" s="2">
        <v>485100</v>
      </c>
    </row>
    <row r="171" spans="1:4" x14ac:dyDescent="0.3">
      <c r="A171">
        <v>6.4160000000000004</v>
      </c>
      <c r="B171">
        <v>9.0399999999999991</v>
      </c>
      <c r="C171">
        <v>16.600000000000001</v>
      </c>
      <c r="D171" s="2">
        <v>495600</v>
      </c>
    </row>
    <row r="172" spans="1:4" x14ac:dyDescent="0.3">
      <c r="A172">
        <v>5.859</v>
      </c>
      <c r="B172">
        <v>9.64</v>
      </c>
      <c r="C172">
        <v>16.600000000000001</v>
      </c>
      <c r="D172" s="2">
        <v>474600</v>
      </c>
    </row>
    <row r="173" spans="1:4" x14ac:dyDescent="0.3">
      <c r="A173">
        <v>6.5460000000000003</v>
      </c>
      <c r="B173">
        <v>5.33</v>
      </c>
      <c r="C173">
        <v>16.600000000000001</v>
      </c>
      <c r="D173" s="2">
        <v>617400</v>
      </c>
    </row>
    <row r="174" spans="1:4" x14ac:dyDescent="0.3">
      <c r="A174">
        <v>6.02</v>
      </c>
      <c r="B174">
        <v>10.11</v>
      </c>
      <c r="C174">
        <v>16.600000000000001</v>
      </c>
      <c r="D174" s="2">
        <v>487200</v>
      </c>
    </row>
    <row r="175" spans="1:4" x14ac:dyDescent="0.3">
      <c r="A175">
        <v>6.3150000000000004</v>
      </c>
      <c r="B175">
        <v>6.29</v>
      </c>
      <c r="C175">
        <v>16.600000000000001</v>
      </c>
      <c r="D175" s="2">
        <v>516600</v>
      </c>
    </row>
    <row r="176" spans="1:4" x14ac:dyDescent="0.3">
      <c r="A176">
        <v>6.86</v>
      </c>
      <c r="B176">
        <v>6.92</v>
      </c>
      <c r="C176">
        <v>16.600000000000001</v>
      </c>
      <c r="D176" s="2">
        <v>627900</v>
      </c>
    </row>
    <row r="177" spans="1:4" x14ac:dyDescent="0.3">
      <c r="A177">
        <v>6.98</v>
      </c>
      <c r="B177">
        <v>5.04</v>
      </c>
      <c r="C177">
        <v>17.8</v>
      </c>
      <c r="D177" s="2">
        <v>781200</v>
      </c>
    </row>
    <row r="178" spans="1:4" x14ac:dyDescent="0.3">
      <c r="A178">
        <v>7.7649999999999997</v>
      </c>
      <c r="B178">
        <v>7.56</v>
      </c>
      <c r="C178">
        <v>17.8</v>
      </c>
      <c r="D178" s="2">
        <v>835800</v>
      </c>
    </row>
    <row r="179" spans="1:4" x14ac:dyDescent="0.3">
      <c r="A179">
        <v>6.1440000000000001</v>
      </c>
      <c r="B179">
        <v>9.4499999999999993</v>
      </c>
      <c r="C179">
        <v>17.8</v>
      </c>
      <c r="D179" s="2">
        <v>760200</v>
      </c>
    </row>
    <row r="180" spans="1:4" x14ac:dyDescent="0.3">
      <c r="A180">
        <v>7.1550000000000002</v>
      </c>
      <c r="B180">
        <v>4.82</v>
      </c>
      <c r="C180">
        <v>17.8</v>
      </c>
      <c r="D180" s="2">
        <v>795900</v>
      </c>
    </row>
    <row r="181" spans="1:4" x14ac:dyDescent="0.3">
      <c r="A181">
        <v>6.5629999999999997</v>
      </c>
      <c r="B181">
        <v>5.68</v>
      </c>
      <c r="C181">
        <v>17.8</v>
      </c>
      <c r="D181" s="2">
        <v>682500</v>
      </c>
    </row>
    <row r="182" spans="1:4" x14ac:dyDescent="0.3">
      <c r="A182">
        <v>5.6040000000000001</v>
      </c>
      <c r="B182">
        <v>13.98</v>
      </c>
      <c r="C182">
        <v>17.8</v>
      </c>
      <c r="D182" s="2">
        <v>554400</v>
      </c>
    </row>
    <row r="183" spans="1:4" x14ac:dyDescent="0.3">
      <c r="A183">
        <v>6.1529999999999996</v>
      </c>
      <c r="B183">
        <v>13.15</v>
      </c>
      <c r="C183">
        <v>17.8</v>
      </c>
      <c r="D183" s="2">
        <v>621600</v>
      </c>
    </row>
    <row r="184" spans="1:4" x14ac:dyDescent="0.3">
      <c r="A184">
        <v>6.782</v>
      </c>
      <c r="B184">
        <v>6.68</v>
      </c>
      <c r="C184">
        <v>15.2</v>
      </c>
      <c r="D184" s="2">
        <v>672000</v>
      </c>
    </row>
    <row r="185" spans="1:4" x14ac:dyDescent="0.3">
      <c r="A185">
        <v>6.556</v>
      </c>
      <c r="B185">
        <v>4.5599999999999996</v>
      </c>
      <c r="C185">
        <v>15.2</v>
      </c>
      <c r="D185" s="2">
        <v>625800</v>
      </c>
    </row>
    <row r="186" spans="1:4" x14ac:dyDescent="0.3">
      <c r="A186">
        <v>7.1849999999999996</v>
      </c>
      <c r="B186">
        <v>5.39</v>
      </c>
      <c r="C186">
        <v>15.2</v>
      </c>
      <c r="D186" s="2">
        <v>732900</v>
      </c>
    </row>
    <row r="187" spans="1:4" x14ac:dyDescent="0.3">
      <c r="A187">
        <v>6.9509999999999996</v>
      </c>
      <c r="B187">
        <v>5.0999999999999996</v>
      </c>
      <c r="C187">
        <v>15.2</v>
      </c>
      <c r="D187" s="2">
        <v>777000</v>
      </c>
    </row>
    <row r="188" spans="1:4" x14ac:dyDescent="0.3">
      <c r="A188">
        <v>6.7389999999999999</v>
      </c>
      <c r="B188">
        <v>4.6900000000000004</v>
      </c>
      <c r="C188">
        <v>15.2</v>
      </c>
      <c r="D188" s="2">
        <v>640500</v>
      </c>
    </row>
    <row r="189" spans="1:4" x14ac:dyDescent="0.3">
      <c r="A189">
        <v>7.1779999999999999</v>
      </c>
      <c r="B189">
        <v>2.87</v>
      </c>
      <c r="C189">
        <v>15.2</v>
      </c>
      <c r="D189" s="2">
        <v>764400</v>
      </c>
    </row>
    <row r="190" spans="1:4" x14ac:dyDescent="0.3">
      <c r="A190">
        <v>6.8</v>
      </c>
      <c r="B190">
        <v>5.03</v>
      </c>
      <c r="C190">
        <v>15.6</v>
      </c>
      <c r="D190" s="2">
        <v>653100</v>
      </c>
    </row>
    <row r="191" spans="1:4" x14ac:dyDescent="0.3">
      <c r="A191">
        <v>6.6040000000000001</v>
      </c>
      <c r="B191">
        <v>4.38</v>
      </c>
      <c r="C191">
        <v>15.6</v>
      </c>
      <c r="D191" s="2">
        <v>611100</v>
      </c>
    </row>
    <row r="192" spans="1:4" x14ac:dyDescent="0.3">
      <c r="A192">
        <v>7.2869999999999999</v>
      </c>
      <c r="B192">
        <v>4.08</v>
      </c>
      <c r="C192">
        <v>12.6</v>
      </c>
      <c r="D192" s="2">
        <v>699300</v>
      </c>
    </row>
    <row r="193" spans="1:4" x14ac:dyDescent="0.3">
      <c r="A193">
        <v>7.1070000000000002</v>
      </c>
      <c r="B193">
        <v>8.61</v>
      </c>
      <c r="C193">
        <v>12.6</v>
      </c>
      <c r="D193" s="2">
        <v>636300</v>
      </c>
    </row>
    <row r="194" spans="1:4" x14ac:dyDescent="0.3">
      <c r="A194">
        <v>7.274</v>
      </c>
      <c r="B194">
        <v>6.62</v>
      </c>
      <c r="C194">
        <v>12.6</v>
      </c>
      <c r="D194" s="2">
        <v>726600</v>
      </c>
    </row>
    <row r="195" spans="1:4" x14ac:dyDescent="0.3">
      <c r="A195">
        <v>6.9749999999999996</v>
      </c>
      <c r="B195">
        <v>4.5599999999999996</v>
      </c>
      <c r="C195">
        <v>17</v>
      </c>
      <c r="D195" s="2">
        <v>732900</v>
      </c>
    </row>
    <row r="196" spans="1:4" x14ac:dyDescent="0.3">
      <c r="A196">
        <v>7.1349999999999998</v>
      </c>
      <c r="B196">
        <v>4.45</v>
      </c>
      <c r="C196">
        <v>17</v>
      </c>
      <c r="D196" s="2">
        <v>690900</v>
      </c>
    </row>
    <row r="197" spans="1:4" x14ac:dyDescent="0.3">
      <c r="A197">
        <v>6.1619999999999999</v>
      </c>
      <c r="B197">
        <v>7.43</v>
      </c>
      <c r="C197">
        <v>14.7</v>
      </c>
      <c r="D197" s="2">
        <v>506100</v>
      </c>
    </row>
    <row r="198" spans="1:4" x14ac:dyDescent="0.3">
      <c r="A198">
        <v>7.61</v>
      </c>
      <c r="B198">
        <v>3.11</v>
      </c>
      <c r="C198">
        <v>14.7</v>
      </c>
      <c r="D198" s="2">
        <v>888300</v>
      </c>
    </row>
    <row r="199" spans="1:4" x14ac:dyDescent="0.3">
      <c r="A199">
        <v>7.8529999999999998</v>
      </c>
      <c r="B199">
        <v>3.81</v>
      </c>
      <c r="C199">
        <v>14.7</v>
      </c>
      <c r="D199" s="2">
        <v>1018500</v>
      </c>
    </row>
    <row r="200" spans="1:4" x14ac:dyDescent="0.3">
      <c r="A200">
        <v>5.891</v>
      </c>
      <c r="B200">
        <v>10.87</v>
      </c>
      <c r="C200">
        <v>18.600000000000001</v>
      </c>
      <c r="D200" s="2">
        <v>474600</v>
      </c>
    </row>
    <row r="201" spans="1:4" x14ac:dyDescent="0.3">
      <c r="A201">
        <v>6.3259999999999996</v>
      </c>
      <c r="B201">
        <v>10.97</v>
      </c>
      <c r="C201">
        <v>18.600000000000001</v>
      </c>
      <c r="D201" s="2">
        <v>512400</v>
      </c>
    </row>
    <row r="202" spans="1:4" x14ac:dyDescent="0.3">
      <c r="A202">
        <v>5.7830000000000004</v>
      </c>
      <c r="B202">
        <v>18.059999999999999</v>
      </c>
      <c r="C202">
        <v>18.600000000000001</v>
      </c>
      <c r="D202" s="2">
        <v>472500</v>
      </c>
    </row>
    <row r="203" spans="1:4" x14ac:dyDescent="0.3">
      <c r="A203">
        <v>6.0640000000000001</v>
      </c>
      <c r="B203">
        <v>14.66</v>
      </c>
      <c r="C203">
        <v>18.600000000000001</v>
      </c>
      <c r="D203" s="2">
        <v>512400</v>
      </c>
    </row>
    <row r="204" spans="1:4" x14ac:dyDescent="0.3">
      <c r="A204">
        <v>5.3440000000000003</v>
      </c>
      <c r="B204">
        <v>23.09</v>
      </c>
      <c r="C204">
        <v>18.600000000000001</v>
      </c>
      <c r="D204" s="2">
        <v>420000</v>
      </c>
    </row>
    <row r="205" spans="1:4" x14ac:dyDescent="0.3">
      <c r="A205">
        <v>5.96</v>
      </c>
      <c r="B205">
        <v>17.27</v>
      </c>
      <c r="C205">
        <v>18.600000000000001</v>
      </c>
      <c r="D205" s="2">
        <v>455700</v>
      </c>
    </row>
    <row r="206" spans="1:4" x14ac:dyDescent="0.3">
      <c r="A206">
        <v>5.4039999999999999</v>
      </c>
      <c r="B206">
        <v>23.98</v>
      </c>
      <c r="C206">
        <v>18.600000000000001</v>
      </c>
      <c r="D206" s="2">
        <v>405300</v>
      </c>
    </row>
    <row r="207" spans="1:4" x14ac:dyDescent="0.3">
      <c r="A207">
        <v>5.8070000000000004</v>
      </c>
      <c r="B207">
        <v>16.03</v>
      </c>
      <c r="C207">
        <v>18.600000000000001</v>
      </c>
      <c r="D207" s="2">
        <v>470400</v>
      </c>
    </row>
    <row r="208" spans="1:4" x14ac:dyDescent="0.3">
      <c r="A208">
        <v>6.375</v>
      </c>
      <c r="B208">
        <v>9.3800000000000008</v>
      </c>
      <c r="C208">
        <v>18.600000000000001</v>
      </c>
      <c r="D208" s="2">
        <v>590100</v>
      </c>
    </row>
    <row r="209" spans="1:4" x14ac:dyDescent="0.3">
      <c r="A209">
        <v>5.4119999999999999</v>
      </c>
      <c r="B209">
        <v>29.55</v>
      </c>
      <c r="C209">
        <v>18.600000000000001</v>
      </c>
      <c r="D209" s="2">
        <v>497700</v>
      </c>
    </row>
    <row r="210" spans="1:4" x14ac:dyDescent="0.3">
      <c r="A210">
        <v>6.1820000000000004</v>
      </c>
      <c r="B210">
        <v>9.4700000000000006</v>
      </c>
      <c r="C210">
        <v>18.600000000000001</v>
      </c>
      <c r="D210" s="2">
        <v>525000</v>
      </c>
    </row>
    <row r="211" spans="1:4" x14ac:dyDescent="0.3">
      <c r="A211">
        <v>5.8879999999999999</v>
      </c>
      <c r="B211">
        <v>13.51</v>
      </c>
      <c r="C211">
        <v>16.399999999999999</v>
      </c>
      <c r="D211" s="2">
        <v>489300</v>
      </c>
    </row>
    <row r="212" spans="1:4" x14ac:dyDescent="0.3">
      <c r="A212">
        <v>6.6420000000000003</v>
      </c>
      <c r="B212">
        <v>9.69</v>
      </c>
      <c r="C212">
        <v>16.399999999999999</v>
      </c>
      <c r="D212" s="2">
        <v>602700</v>
      </c>
    </row>
    <row r="213" spans="1:4" x14ac:dyDescent="0.3">
      <c r="A213">
        <v>5.9509999999999996</v>
      </c>
      <c r="B213">
        <v>17.920000000000002</v>
      </c>
      <c r="C213">
        <v>16.399999999999999</v>
      </c>
      <c r="D213" s="2">
        <v>451500</v>
      </c>
    </row>
    <row r="214" spans="1:4" x14ac:dyDescent="0.3">
      <c r="A214">
        <v>6.3730000000000002</v>
      </c>
      <c r="B214">
        <v>10.5</v>
      </c>
      <c r="C214">
        <v>16.399999999999999</v>
      </c>
      <c r="D214" s="2">
        <v>483000</v>
      </c>
    </row>
    <row r="215" spans="1:4" x14ac:dyDescent="0.3">
      <c r="A215">
        <v>6.9509999999999996</v>
      </c>
      <c r="B215">
        <v>9.7100000000000009</v>
      </c>
      <c r="C215">
        <v>17.399999999999999</v>
      </c>
      <c r="D215" s="2">
        <v>560700</v>
      </c>
    </row>
    <row r="216" spans="1:4" x14ac:dyDescent="0.3">
      <c r="A216">
        <v>6.1639999999999997</v>
      </c>
      <c r="B216">
        <v>21.46</v>
      </c>
      <c r="C216">
        <v>17.399999999999999</v>
      </c>
      <c r="D216" s="2">
        <v>455700</v>
      </c>
    </row>
    <row r="217" spans="1:4" x14ac:dyDescent="0.3">
      <c r="A217">
        <v>6.8789999999999996</v>
      </c>
      <c r="B217">
        <v>9.93</v>
      </c>
      <c r="C217">
        <v>17.399999999999999</v>
      </c>
      <c r="D217" s="2">
        <v>577500</v>
      </c>
    </row>
    <row r="218" spans="1:4" x14ac:dyDescent="0.3">
      <c r="A218">
        <v>6.6180000000000003</v>
      </c>
      <c r="B218">
        <v>7.6</v>
      </c>
      <c r="C218">
        <v>17.399999999999999</v>
      </c>
      <c r="D218" s="2">
        <v>632100</v>
      </c>
    </row>
    <row r="219" spans="1:4" x14ac:dyDescent="0.3">
      <c r="A219">
        <v>8.266</v>
      </c>
      <c r="B219">
        <v>4.1399999999999997</v>
      </c>
      <c r="C219">
        <v>17.399999999999999</v>
      </c>
      <c r="D219" s="2">
        <v>940800</v>
      </c>
    </row>
    <row r="220" spans="1:4" x14ac:dyDescent="0.3">
      <c r="A220">
        <v>8.0399999999999991</v>
      </c>
      <c r="B220">
        <v>3.13</v>
      </c>
      <c r="C220">
        <v>17.399999999999999</v>
      </c>
      <c r="D220" s="2">
        <v>789600</v>
      </c>
    </row>
    <row r="221" spans="1:4" x14ac:dyDescent="0.3">
      <c r="A221">
        <v>7.1630000000000003</v>
      </c>
      <c r="B221">
        <v>6.36</v>
      </c>
      <c r="C221">
        <v>17.399999999999999</v>
      </c>
      <c r="D221" s="2">
        <v>663600</v>
      </c>
    </row>
    <row r="222" spans="1:4" x14ac:dyDescent="0.3">
      <c r="A222">
        <v>7.6859999999999999</v>
      </c>
      <c r="B222">
        <v>3.92</v>
      </c>
      <c r="C222">
        <v>17.399999999999999</v>
      </c>
      <c r="D222" s="2">
        <v>980700</v>
      </c>
    </row>
    <row r="223" spans="1:4" x14ac:dyDescent="0.3">
      <c r="A223">
        <v>6.5519999999999996</v>
      </c>
      <c r="B223">
        <v>3.76</v>
      </c>
      <c r="C223">
        <v>17.399999999999999</v>
      </c>
      <c r="D223" s="2">
        <v>661500</v>
      </c>
    </row>
    <row r="224" spans="1:4" x14ac:dyDescent="0.3">
      <c r="A224">
        <v>5.9809999999999999</v>
      </c>
      <c r="B224">
        <v>11.65</v>
      </c>
      <c r="C224">
        <v>17.399999999999999</v>
      </c>
      <c r="D224" s="2">
        <v>510300</v>
      </c>
    </row>
    <row r="225" spans="1:4" x14ac:dyDescent="0.3">
      <c r="A225">
        <v>7.4119999999999999</v>
      </c>
      <c r="B225">
        <v>5.25</v>
      </c>
      <c r="C225">
        <v>17.399999999999999</v>
      </c>
      <c r="D225" s="2">
        <v>665700</v>
      </c>
    </row>
    <row r="226" spans="1:4" x14ac:dyDescent="0.3">
      <c r="A226">
        <v>8.3369999999999997</v>
      </c>
      <c r="B226">
        <v>2.4700000000000002</v>
      </c>
      <c r="C226">
        <v>17.399999999999999</v>
      </c>
      <c r="D226" s="2">
        <v>875700</v>
      </c>
    </row>
    <row r="227" spans="1:4" x14ac:dyDescent="0.3">
      <c r="A227">
        <v>8.2469999999999999</v>
      </c>
      <c r="B227">
        <v>3.95</v>
      </c>
      <c r="C227">
        <v>17.399999999999999</v>
      </c>
      <c r="D227" s="2">
        <v>1014300</v>
      </c>
    </row>
    <row r="228" spans="1:4" x14ac:dyDescent="0.3">
      <c r="A228">
        <v>6.726</v>
      </c>
      <c r="B228">
        <v>8.0500000000000007</v>
      </c>
      <c r="C228">
        <v>17.399999999999999</v>
      </c>
      <c r="D228" s="2">
        <v>609000</v>
      </c>
    </row>
    <row r="229" spans="1:4" x14ac:dyDescent="0.3">
      <c r="A229">
        <v>6.0860000000000003</v>
      </c>
      <c r="B229">
        <v>10.88</v>
      </c>
      <c r="C229">
        <v>17.399999999999999</v>
      </c>
      <c r="D229" s="2">
        <v>504000</v>
      </c>
    </row>
    <row r="230" spans="1:4" x14ac:dyDescent="0.3">
      <c r="A230">
        <v>6.6310000000000002</v>
      </c>
      <c r="B230">
        <v>9.5399999999999991</v>
      </c>
      <c r="C230">
        <v>17.399999999999999</v>
      </c>
      <c r="D230" s="2">
        <v>527100</v>
      </c>
    </row>
    <row r="231" spans="1:4" x14ac:dyDescent="0.3">
      <c r="A231">
        <v>7.3579999999999997</v>
      </c>
      <c r="B231">
        <v>4.7300000000000004</v>
      </c>
      <c r="C231">
        <v>17.399999999999999</v>
      </c>
      <c r="D231" s="2">
        <v>661500</v>
      </c>
    </row>
    <row r="232" spans="1:4" x14ac:dyDescent="0.3">
      <c r="A232">
        <v>6.4809999999999999</v>
      </c>
      <c r="B232">
        <v>6.36</v>
      </c>
      <c r="C232">
        <v>16.600000000000001</v>
      </c>
      <c r="D232" s="2">
        <v>497700</v>
      </c>
    </row>
    <row r="233" spans="1:4" x14ac:dyDescent="0.3">
      <c r="A233">
        <v>6.6059999999999999</v>
      </c>
      <c r="B233">
        <v>7.37</v>
      </c>
      <c r="C233">
        <v>16.600000000000001</v>
      </c>
      <c r="D233" s="2">
        <v>489300</v>
      </c>
    </row>
    <row r="234" spans="1:4" x14ac:dyDescent="0.3">
      <c r="A234">
        <v>6.8970000000000002</v>
      </c>
      <c r="B234">
        <v>11.38</v>
      </c>
      <c r="C234">
        <v>16.600000000000001</v>
      </c>
      <c r="D234" s="2">
        <v>462000</v>
      </c>
    </row>
    <row r="235" spans="1:4" x14ac:dyDescent="0.3">
      <c r="A235">
        <v>6.0949999999999998</v>
      </c>
      <c r="B235">
        <v>12.4</v>
      </c>
      <c r="C235">
        <v>16.600000000000001</v>
      </c>
      <c r="D235" s="2">
        <v>422100</v>
      </c>
    </row>
    <row r="236" spans="1:4" x14ac:dyDescent="0.3">
      <c r="A236">
        <v>6.3579999999999997</v>
      </c>
      <c r="B236">
        <v>11.22</v>
      </c>
      <c r="C236">
        <v>16.600000000000001</v>
      </c>
      <c r="D236" s="2">
        <v>466200</v>
      </c>
    </row>
    <row r="237" spans="1:4" x14ac:dyDescent="0.3">
      <c r="A237">
        <v>6.3929999999999998</v>
      </c>
      <c r="B237">
        <v>5.19</v>
      </c>
      <c r="C237">
        <v>16.600000000000001</v>
      </c>
      <c r="D237" s="2">
        <v>497700</v>
      </c>
    </row>
    <row r="238" spans="1:4" x14ac:dyDescent="0.3">
      <c r="A238">
        <v>5.593</v>
      </c>
      <c r="B238">
        <v>12.5</v>
      </c>
      <c r="C238">
        <v>19.100000000000001</v>
      </c>
      <c r="D238" s="2">
        <v>369600</v>
      </c>
    </row>
    <row r="239" spans="1:4" x14ac:dyDescent="0.3">
      <c r="A239">
        <v>5.6050000000000004</v>
      </c>
      <c r="B239">
        <v>18.46</v>
      </c>
      <c r="C239">
        <v>19.100000000000001</v>
      </c>
      <c r="D239" s="2">
        <v>388500</v>
      </c>
    </row>
    <row r="240" spans="1:4" x14ac:dyDescent="0.3">
      <c r="A240">
        <v>6.1079999999999997</v>
      </c>
      <c r="B240">
        <v>9.16</v>
      </c>
      <c r="C240">
        <v>19.100000000000001</v>
      </c>
      <c r="D240" s="2">
        <v>510300</v>
      </c>
    </row>
    <row r="241" spans="1:4" x14ac:dyDescent="0.3">
      <c r="A241">
        <v>6.226</v>
      </c>
      <c r="B241">
        <v>10.15</v>
      </c>
      <c r="C241">
        <v>19.100000000000001</v>
      </c>
      <c r="D241" s="2">
        <v>430500</v>
      </c>
    </row>
    <row r="242" spans="1:4" x14ac:dyDescent="0.3">
      <c r="A242">
        <v>6.4329999999999998</v>
      </c>
      <c r="B242">
        <v>9.52</v>
      </c>
      <c r="C242">
        <v>19.100000000000001</v>
      </c>
      <c r="D242" s="2">
        <v>514500</v>
      </c>
    </row>
    <row r="243" spans="1:4" x14ac:dyDescent="0.3">
      <c r="A243">
        <v>6.718</v>
      </c>
      <c r="B243">
        <v>6.56</v>
      </c>
      <c r="C243">
        <v>19.100000000000001</v>
      </c>
      <c r="D243" s="2">
        <v>550200</v>
      </c>
    </row>
    <row r="244" spans="1:4" x14ac:dyDescent="0.3">
      <c r="A244">
        <v>6.4870000000000001</v>
      </c>
      <c r="B244">
        <v>5.9</v>
      </c>
      <c r="C244">
        <v>19.100000000000001</v>
      </c>
      <c r="D244" s="2">
        <v>512400</v>
      </c>
    </row>
    <row r="245" spans="1:4" x14ac:dyDescent="0.3">
      <c r="A245">
        <v>6.4379999999999997</v>
      </c>
      <c r="B245">
        <v>3.59</v>
      </c>
      <c r="C245">
        <v>19.100000000000001</v>
      </c>
      <c r="D245" s="2">
        <v>520800</v>
      </c>
    </row>
    <row r="246" spans="1:4" x14ac:dyDescent="0.3">
      <c r="A246">
        <v>6.9569999999999999</v>
      </c>
      <c r="B246">
        <v>3.53</v>
      </c>
      <c r="C246">
        <v>19.100000000000001</v>
      </c>
      <c r="D246" s="2">
        <v>621600</v>
      </c>
    </row>
    <row r="247" spans="1:4" x14ac:dyDescent="0.3">
      <c r="A247">
        <v>8.2590000000000003</v>
      </c>
      <c r="B247">
        <v>3.54</v>
      </c>
      <c r="C247">
        <v>19.100000000000001</v>
      </c>
      <c r="D247" s="2">
        <v>898800</v>
      </c>
    </row>
    <row r="248" spans="1:4" x14ac:dyDescent="0.3">
      <c r="A248">
        <v>6.1079999999999997</v>
      </c>
      <c r="B248">
        <v>6.57</v>
      </c>
      <c r="C248">
        <v>16.399999999999999</v>
      </c>
      <c r="D248" s="2">
        <v>459900</v>
      </c>
    </row>
    <row r="249" spans="1:4" x14ac:dyDescent="0.3">
      <c r="A249">
        <v>5.8760000000000003</v>
      </c>
      <c r="B249">
        <v>9.25</v>
      </c>
      <c r="C249">
        <v>16.399999999999999</v>
      </c>
      <c r="D249" s="2">
        <v>438900</v>
      </c>
    </row>
    <row r="250" spans="1:4" x14ac:dyDescent="0.3">
      <c r="A250">
        <v>7.4539999999999997</v>
      </c>
      <c r="B250">
        <v>3.11</v>
      </c>
      <c r="C250">
        <v>15.9</v>
      </c>
      <c r="D250" s="2">
        <v>924000</v>
      </c>
    </row>
    <row r="251" spans="1:4" x14ac:dyDescent="0.3">
      <c r="A251">
        <v>7.3330000000000002</v>
      </c>
      <c r="B251">
        <v>7.79</v>
      </c>
      <c r="C251">
        <v>13</v>
      </c>
      <c r="D251" s="2">
        <v>756000</v>
      </c>
    </row>
    <row r="252" spans="1:4" x14ac:dyDescent="0.3">
      <c r="A252">
        <v>6.8419999999999996</v>
      </c>
      <c r="B252">
        <v>6.9</v>
      </c>
      <c r="C252">
        <v>13</v>
      </c>
      <c r="D252" s="2">
        <v>632100</v>
      </c>
    </row>
    <row r="253" spans="1:4" x14ac:dyDescent="0.3">
      <c r="A253">
        <v>7.2030000000000003</v>
      </c>
      <c r="B253">
        <v>9.59</v>
      </c>
      <c r="C253">
        <v>13</v>
      </c>
      <c r="D253" s="2">
        <v>709800</v>
      </c>
    </row>
    <row r="254" spans="1:4" x14ac:dyDescent="0.3">
      <c r="A254">
        <v>7.52</v>
      </c>
      <c r="B254">
        <v>7.26</v>
      </c>
      <c r="C254">
        <v>13</v>
      </c>
      <c r="D254" s="2">
        <v>905100</v>
      </c>
    </row>
    <row r="255" spans="1:4" x14ac:dyDescent="0.3">
      <c r="A255">
        <v>8.3979999999999997</v>
      </c>
      <c r="B255">
        <v>5.91</v>
      </c>
      <c r="C255">
        <v>13</v>
      </c>
      <c r="D255" s="2">
        <v>1024800</v>
      </c>
    </row>
    <row r="256" spans="1:4" x14ac:dyDescent="0.3">
      <c r="A256">
        <v>7.327</v>
      </c>
      <c r="B256">
        <v>11.25</v>
      </c>
      <c r="C256">
        <v>13</v>
      </c>
      <c r="D256" s="2">
        <v>651000</v>
      </c>
    </row>
    <row r="257" spans="1:4" x14ac:dyDescent="0.3">
      <c r="A257">
        <v>7.2060000000000004</v>
      </c>
      <c r="B257">
        <v>8.1</v>
      </c>
      <c r="C257">
        <v>13</v>
      </c>
      <c r="D257" s="2">
        <v>766500</v>
      </c>
    </row>
    <row r="258" spans="1:4" x14ac:dyDescent="0.3">
      <c r="A258">
        <v>5.56</v>
      </c>
      <c r="B258">
        <v>10.45</v>
      </c>
      <c r="C258">
        <v>13</v>
      </c>
      <c r="D258" s="2">
        <v>478800</v>
      </c>
    </row>
    <row r="259" spans="1:4" x14ac:dyDescent="0.3">
      <c r="A259">
        <v>7.0140000000000002</v>
      </c>
      <c r="B259">
        <v>14.79</v>
      </c>
      <c r="C259">
        <v>13</v>
      </c>
      <c r="D259" s="2">
        <v>644700</v>
      </c>
    </row>
    <row r="260" spans="1:4" x14ac:dyDescent="0.3">
      <c r="A260">
        <v>7.47</v>
      </c>
      <c r="B260">
        <v>3.16</v>
      </c>
      <c r="C260">
        <v>13</v>
      </c>
      <c r="D260" s="2">
        <v>913500</v>
      </c>
    </row>
    <row r="261" spans="1:4" x14ac:dyDescent="0.3">
      <c r="A261">
        <v>5.92</v>
      </c>
      <c r="B261">
        <v>13.65</v>
      </c>
      <c r="C261">
        <v>18.600000000000001</v>
      </c>
      <c r="D261" s="2">
        <v>434700</v>
      </c>
    </row>
    <row r="262" spans="1:4" x14ac:dyDescent="0.3">
      <c r="A262">
        <v>5.8559999999999999</v>
      </c>
      <c r="B262">
        <v>13</v>
      </c>
      <c r="C262">
        <v>18.600000000000001</v>
      </c>
      <c r="D262" s="2">
        <v>443100</v>
      </c>
    </row>
    <row r="263" spans="1:4" x14ac:dyDescent="0.3">
      <c r="A263">
        <v>6.24</v>
      </c>
      <c r="B263">
        <v>6.59</v>
      </c>
      <c r="C263">
        <v>18.600000000000001</v>
      </c>
      <c r="D263" s="2">
        <v>529200</v>
      </c>
    </row>
    <row r="264" spans="1:4" x14ac:dyDescent="0.3">
      <c r="A264">
        <v>6.5380000000000003</v>
      </c>
      <c r="B264">
        <v>7.73</v>
      </c>
      <c r="C264">
        <v>18.600000000000001</v>
      </c>
      <c r="D264" s="2">
        <v>512400</v>
      </c>
    </row>
    <row r="265" spans="1:4" x14ac:dyDescent="0.3">
      <c r="A265">
        <v>7.6909999999999998</v>
      </c>
      <c r="B265">
        <v>6.58</v>
      </c>
      <c r="C265">
        <v>18.600000000000001</v>
      </c>
      <c r="D265" s="2">
        <v>739200</v>
      </c>
    </row>
    <row r="266" spans="1:4" x14ac:dyDescent="0.3">
      <c r="A266">
        <v>6.758</v>
      </c>
      <c r="B266">
        <v>3.53</v>
      </c>
      <c r="C266">
        <v>17.600000000000001</v>
      </c>
      <c r="D266" s="2">
        <v>680400</v>
      </c>
    </row>
    <row r="267" spans="1:4" x14ac:dyDescent="0.3">
      <c r="A267">
        <v>6.8540000000000001</v>
      </c>
      <c r="B267">
        <v>2.98</v>
      </c>
      <c r="C267">
        <v>17.600000000000001</v>
      </c>
      <c r="D267" s="2">
        <v>672000</v>
      </c>
    </row>
    <row r="268" spans="1:4" x14ac:dyDescent="0.3">
      <c r="A268">
        <v>7.2670000000000003</v>
      </c>
      <c r="B268">
        <v>6.05</v>
      </c>
      <c r="C268">
        <v>17.600000000000001</v>
      </c>
      <c r="D268" s="2">
        <v>697200</v>
      </c>
    </row>
    <row r="269" spans="1:4" x14ac:dyDescent="0.3">
      <c r="A269">
        <v>6.8259999999999996</v>
      </c>
      <c r="B269">
        <v>4.16</v>
      </c>
      <c r="C269">
        <v>17.600000000000001</v>
      </c>
      <c r="D269" s="2">
        <v>695100</v>
      </c>
    </row>
    <row r="270" spans="1:4" x14ac:dyDescent="0.3">
      <c r="A270">
        <v>6.4820000000000002</v>
      </c>
      <c r="B270">
        <v>7.19</v>
      </c>
      <c r="C270">
        <v>17.600000000000001</v>
      </c>
      <c r="D270" s="2">
        <v>611100</v>
      </c>
    </row>
    <row r="271" spans="1:4" x14ac:dyDescent="0.3">
      <c r="A271">
        <v>6.8120000000000003</v>
      </c>
      <c r="B271">
        <v>4.8499999999999996</v>
      </c>
      <c r="C271">
        <v>14.9</v>
      </c>
      <c r="D271" s="2">
        <v>737100</v>
      </c>
    </row>
    <row r="272" spans="1:4" x14ac:dyDescent="0.3">
      <c r="A272">
        <v>7.82</v>
      </c>
      <c r="B272">
        <v>3.76</v>
      </c>
      <c r="C272">
        <v>14.9</v>
      </c>
      <c r="D272" s="2">
        <v>953400</v>
      </c>
    </row>
    <row r="273" spans="1:4" x14ac:dyDescent="0.3">
      <c r="A273">
        <v>6.968</v>
      </c>
      <c r="B273">
        <v>4.59</v>
      </c>
      <c r="C273">
        <v>14.9</v>
      </c>
      <c r="D273" s="2">
        <v>743400</v>
      </c>
    </row>
    <row r="274" spans="1:4" x14ac:dyDescent="0.3">
      <c r="A274">
        <v>7.6449999999999996</v>
      </c>
      <c r="B274">
        <v>3.01</v>
      </c>
      <c r="C274">
        <v>14.9</v>
      </c>
      <c r="D274" s="2">
        <v>966000</v>
      </c>
    </row>
    <row r="275" spans="1:4" x14ac:dyDescent="0.3">
      <c r="A275">
        <v>7.0880000000000001</v>
      </c>
      <c r="B275">
        <v>7.85</v>
      </c>
      <c r="C275">
        <v>15.3</v>
      </c>
      <c r="D275" s="2">
        <v>676200</v>
      </c>
    </row>
    <row r="276" spans="1:4" x14ac:dyDescent="0.3">
      <c r="A276">
        <v>6.4530000000000003</v>
      </c>
      <c r="B276">
        <v>8.23</v>
      </c>
      <c r="C276">
        <v>15.3</v>
      </c>
      <c r="D276" s="2">
        <v>462000</v>
      </c>
    </row>
    <row r="277" spans="1:4" x14ac:dyDescent="0.3">
      <c r="A277">
        <v>6.23</v>
      </c>
      <c r="B277">
        <v>12.93</v>
      </c>
      <c r="C277">
        <v>18.2</v>
      </c>
      <c r="D277" s="2">
        <v>422100</v>
      </c>
    </row>
    <row r="278" spans="1:4" x14ac:dyDescent="0.3">
      <c r="A278">
        <v>6.2089999999999996</v>
      </c>
      <c r="B278">
        <v>7.14</v>
      </c>
      <c r="C278">
        <v>16.600000000000001</v>
      </c>
      <c r="D278" s="2">
        <v>487200</v>
      </c>
    </row>
    <row r="279" spans="1:4" x14ac:dyDescent="0.3">
      <c r="A279">
        <v>6.3150000000000004</v>
      </c>
      <c r="B279">
        <v>7.6</v>
      </c>
      <c r="C279">
        <v>16.600000000000001</v>
      </c>
      <c r="D279" s="2">
        <v>468300</v>
      </c>
    </row>
    <row r="280" spans="1:4" x14ac:dyDescent="0.3">
      <c r="A280">
        <v>6.5650000000000004</v>
      </c>
      <c r="B280">
        <v>9.51</v>
      </c>
      <c r="C280">
        <v>16.600000000000001</v>
      </c>
      <c r="D280" s="2">
        <v>520800</v>
      </c>
    </row>
    <row r="281" spans="1:4" x14ac:dyDescent="0.3">
      <c r="A281">
        <v>6.8609999999999998</v>
      </c>
      <c r="B281">
        <v>3.33</v>
      </c>
      <c r="C281">
        <v>19.2</v>
      </c>
      <c r="D281" s="2">
        <v>598500</v>
      </c>
    </row>
    <row r="282" spans="1:4" x14ac:dyDescent="0.3">
      <c r="A282">
        <v>7.1479999999999997</v>
      </c>
      <c r="B282">
        <v>3.56</v>
      </c>
      <c r="C282">
        <v>19.2</v>
      </c>
      <c r="D282" s="2">
        <v>783300</v>
      </c>
    </row>
    <row r="283" spans="1:4" x14ac:dyDescent="0.3">
      <c r="A283">
        <v>6.63</v>
      </c>
      <c r="B283">
        <v>4.7</v>
      </c>
      <c r="C283">
        <v>19.2</v>
      </c>
      <c r="D283" s="2">
        <v>585900</v>
      </c>
    </row>
    <row r="284" spans="1:4" x14ac:dyDescent="0.3">
      <c r="A284">
        <v>6.1269999999999998</v>
      </c>
      <c r="B284">
        <v>8.58</v>
      </c>
      <c r="C284">
        <v>16</v>
      </c>
      <c r="D284" s="2">
        <v>501900</v>
      </c>
    </row>
    <row r="285" spans="1:4" x14ac:dyDescent="0.3">
      <c r="A285">
        <v>6.0090000000000003</v>
      </c>
      <c r="B285">
        <v>10.4</v>
      </c>
      <c r="C285">
        <v>16</v>
      </c>
      <c r="D285" s="2">
        <v>455700</v>
      </c>
    </row>
    <row r="286" spans="1:4" x14ac:dyDescent="0.3">
      <c r="A286">
        <v>6.6779999999999999</v>
      </c>
      <c r="B286">
        <v>6.27</v>
      </c>
      <c r="C286">
        <v>16</v>
      </c>
      <c r="D286" s="2">
        <v>600600</v>
      </c>
    </row>
    <row r="287" spans="1:4" x14ac:dyDescent="0.3">
      <c r="A287">
        <v>6.5490000000000004</v>
      </c>
      <c r="B287">
        <v>7.39</v>
      </c>
      <c r="C287">
        <v>16</v>
      </c>
      <c r="D287" s="2">
        <v>569100</v>
      </c>
    </row>
    <row r="288" spans="1:4" x14ac:dyDescent="0.3">
      <c r="A288">
        <v>5.79</v>
      </c>
      <c r="B288">
        <v>15.84</v>
      </c>
      <c r="C288">
        <v>16</v>
      </c>
      <c r="D288" s="2">
        <v>426300</v>
      </c>
    </row>
    <row r="289" spans="1:4" x14ac:dyDescent="0.3">
      <c r="A289">
        <v>6.3449999999999998</v>
      </c>
      <c r="B289">
        <v>4.97</v>
      </c>
      <c r="C289">
        <v>14.8</v>
      </c>
      <c r="D289" s="2">
        <v>472500</v>
      </c>
    </row>
    <row r="290" spans="1:4" x14ac:dyDescent="0.3">
      <c r="A290">
        <v>7.0410000000000004</v>
      </c>
      <c r="B290">
        <v>4.74</v>
      </c>
      <c r="C290">
        <v>14.8</v>
      </c>
      <c r="D290" s="2">
        <v>609000</v>
      </c>
    </row>
    <row r="291" spans="1:4" x14ac:dyDescent="0.3">
      <c r="A291">
        <v>6.8710000000000004</v>
      </c>
      <c r="B291">
        <v>6.07</v>
      </c>
      <c r="C291">
        <v>14.8</v>
      </c>
      <c r="D291" s="2">
        <v>520800</v>
      </c>
    </row>
    <row r="292" spans="1:4" x14ac:dyDescent="0.3">
      <c r="A292">
        <v>6.59</v>
      </c>
      <c r="B292">
        <v>9.5</v>
      </c>
      <c r="C292">
        <v>16.100000000000001</v>
      </c>
      <c r="D292" s="2">
        <v>462000</v>
      </c>
    </row>
    <row r="293" spans="1:4" x14ac:dyDescent="0.3">
      <c r="A293">
        <v>6.4950000000000001</v>
      </c>
      <c r="B293">
        <v>8.67</v>
      </c>
      <c r="C293">
        <v>16.100000000000001</v>
      </c>
      <c r="D293" s="2">
        <v>554400</v>
      </c>
    </row>
    <row r="294" spans="1:4" x14ac:dyDescent="0.3">
      <c r="A294">
        <v>6.9820000000000002</v>
      </c>
      <c r="B294">
        <v>4.8600000000000003</v>
      </c>
      <c r="C294">
        <v>16.100000000000001</v>
      </c>
      <c r="D294" s="2">
        <v>695100</v>
      </c>
    </row>
    <row r="295" spans="1:4" x14ac:dyDescent="0.3">
      <c r="A295">
        <v>7.2359999999999998</v>
      </c>
      <c r="B295">
        <v>6.93</v>
      </c>
      <c r="C295">
        <v>18.399999999999999</v>
      </c>
      <c r="D295" s="2">
        <v>758100</v>
      </c>
    </row>
    <row r="296" spans="1:4" x14ac:dyDescent="0.3">
      <c r="A296">
        <v>6.6159999999999997</v>
      </c>
      <c r="B296">
        <v>8.93</v>
      </c>
      <c r="C296">
        <v>18.399999999999999</v>
      </c>
      <c r="D296" s="2">
        <v>596400</v>
      </c>
    </row>
    <row r="297" spans="1:4" x14ac:dyDescent="0.3">
      <c r="A297">
        <v>7.42</v>
      </c>
      <c r="B297">
        <v>6.47</v>
      </c>
      <c r="C297">
        <v>18.399999999999999</v>
      </c>
      <c r="D297" s="2">
        <v>701400</v>
      </c>
    </row>
    <row r="298" spans="1:4" x14ac:dyDescent="0.3">
      <c r="A298">
        <v>6.8490000000000002</v>
      </c>
      <c r="B298">
        <v>7.53</v>
      </c>
      <c r="C298">
        <v>18.399999999999999</v>
      </c>
      <c r="D298" s="2">
        <v>592200</v>
      </c>
    </row>
    <row r="299" spans="1:4" x14ac:dyDescent="0.3">
      <c r="A299">
        <v>6.6349999999999998</v>
      </c>
      <c r="B299">
        <v>4.54</v>
      </c>
      <c r="C299">
        <v>18.399999999999999</v>
      </c>
      <c r="D299" s="2">
        <v>478800</v>
      </c>
    </row>
    <row r="300" spans="1:4" x14ac:dyDescent="0.3">
      <c r="A300">
        <v>5.9720000000000004</v>
      </c>
      <c r="B300">
        <v>9.9700000000000006</v>
      </c>
      <c r="C300">
        <v>18.399999999999999</v>
      </c>
      <c r="D300" s="2">
        <v>426300</v>
      </c>
    </row>
    <row r="301" spans="1:4" x14ac:dyDescent="0.3">
      <c r="A301">
        <v>4.9729999999999999</v>
      </c>
      <c r="B301">
        <v>12.64</v>
      </c>
      <c r="C301">
        <v>18.399999999999999</v>
      </c>
      <c r="D301" s="2">
        <v>338100</v>
      </c>
    </row>
    <row r="302" spans="1:4" x14ac:dyDescent="0.3">
      <c r="A302">
        <v>6.1219999999999999</v>
      </c>
      <c r="B302">
        <v>5.98</v>
      </c>
      <c r="C302">
        <v>18.399999999999999</v>
      </c>
      <c r="D302" s="2">
        <v>464100</v>
      </c>
    </row>
    <row r="303" spans="1:4" x14ac:dyDescent="0.3">
      <c r="A303">
        <v>6.0229999999999997</v>
      </c>
      <c r="B303">
        <v>11.72</v>
      </c>
      <c r="C303">
        <v>18.399999999999999</v>
      </c>
      <c r="D303" s="2">
        <v>407400</v>
      </c>
    </row>
    <row r="304" spans="1:4" x14ac:dyDescent="0.3">
      <c r="A304">
        <v>6.266</v>
      </c>
      <c r="B304">
        <v>7.9</v>
      </c>
      <c r="C304">
        <v>18.399999999999999</v>
      </c>
      <c r="D304" s="2">
        <v>453600</v>
      </c>
    </row>
    <row r="305" spans="1:4" x14ac:dyDescent="0.3">
      <c r="A305">
        <v>6.5670000000000002</v>
      </c>
      <c r="B305">
        <v>9.2799999999999994</v>
      </c>
      <c r="C305">
        <v>18.399999999999999</v>
      </c>
      <c r="D305" s="2">
        <v>499800</v>
      </c>
    </row>
    <row r="306" spans="1:4" x14ac:dyDescent="0.3">
      <c r="A306">
        <v>5.7050000000000001</v>
      </c>
      <c r="B306">
        <v>11.5</v>
      </c>
      <c r="C306">
        <v>18.399999999999999</v>
      </c>
      <c r="D306" s="2">
        <v>340200</v>
      </c>
    </row>
    <row r="307" spans="1:4" x14ac:dyDescent="0.3">
      <c r="A307">
        <v>5.9139999999999997</v>
      </c>
      <c r="B307">
        <v>18.329999999999998</v>
      </c>
      <c r="C307">
        <v>18.399999999999999</v>
      </c>
      <c r="D307" s="2">
        <v>373800</v>
      </c>
    </row>
    <row r="308" spans="1:4" x14ac:dyDescent="0.3">
      <c r="A308">
        <v>5.782</v>
      </c>
      <c r="B308">
        <v>15.94</v>
      </c>
      <c r="C308">
        <v>18.399999999999999</v>
      </c>
      <c r="D308" s="2">
        <v>415800</v>
      </c>
    </row>
    <row r="309" spans="1:4" x14ac:dyDescent="0.3">
      <c r="A309">
        <v>6.3819999999999997</v>
      </c>
      <c r="B309">
        <v>10.36</v>
      </c>
      <c r="C309">
        <v>18.399999999999999</v>
      </c>
      <c r="D309" s="2">
        <v>485100</v>
      </c>
    </row>
    <row r="310" spans="1:4" x14ac:dyDescent="0.3">
      <c r="A310">
        <v>6.1130000000000004</v>
      </c>
      <c r="B310">
        <v>12.73</v>
      </c>
      <c r="C310">
        <v>18.399999999999999</v>
      </c>
      <c r="D310" s="2">
        <v>441000</v>
      </c>
    </row>
    <row r="311" spans="1:4" x14ac:dyDescent="0.3">
      <c r="A311">
        <v>6.4260000000000002</v>
      </c>
      <c r="B311">
        <v>7.2</v>
      </c>
      <c r="C311">
        <v>19.600000000000001</v>
      </c>
      <c r="D311" s="2">
        <v>499800</v>
      </c>
    </row>
    <row r="312" spans="1:4" x14ac:dyDescent="0.3">
      <c r="A312">
        <v>6.3760000000000003</v>
      </c>
      <c r="B312">
        <v>6.87</v>
      </c>
      <c r="C312">
        <v>19.600000000000001</v>
      </c>
      <c r="D312" s="2">
        <v>485100</v>
      </c>
    </row>
    <row r="313" spans="1:4" x14ac:dyDescent="0.3">
      <c r="A313">
        <v>6.0410000000000004</v>
      </c>
      <c r="B313">
        <v>7.7</v>
      </c>
      <c r="C313">
        <v>19.600000000000001</v>
      </c>
      <c r="D313" s="2">
        <v>428400</v>
      </c>
    </row>
    <row r="314" spans="1:4" x14ac:dyDescent="0.3">
      <c r="A314">
        <v>5.7080000000000002</v>
      </c>
      <c r="B314">
        <v>11.74</v>
      </c>
      <c r="C314">
        <v>19.600000000000001</v>
      </c>
      <c r="D314" s="2">
        <v>388500</v>
      </c>
    </row>
    <row r="315" spans="1:4" x14ac:dyDescent="0.3">
      <c r="A315">
        <v>6.415</v>
      </c>
      <c r="B315">
        <v>6.12</v>
      </c>
      <c r="C315">
        <v>19.600000000000001</v>
      </c>
      <c r="D315" s="2">
        <v>525000</v>
      </c>
    </row>
    <row r="316" spans="1:4" x14ac:dyDescent="0.3">
      <c r="A316">
        <v>6.431</v>
      </c>
      <c r="B316">
        <v>5.08</v>
      </c>
      <c r="C316">
        <v>19.600000000000001</v>
      </c>
      <c r="D316" s="2">
        <v>516600</v>
      </c>
    </row>
    <row r="317" spans="1:4" x14ac:dyDescent="0.3">
      <c r="A317">
        <v>6.3120000000000003</v>
      </c>
      <c r="B317">
        <v>6.15</v>
      </c>
      <c r="C317">
        <v>19.600000000000001</v>
      </c>
      <c r="D317" s="2">
        <v>483000</v>
      </c>
    </row>
    <row r="318" spans="1:4" x14ac:dyDescent="0.3">
      <c r="A318">
        <v>6.0830000000000002</v>
      </c>
      <c r="B318">
        <v>12.79</v>
      </c>
      <c r="C318">
        <v>19.600000000000001</v>
      </c>
      <c r="D318" s="2">
        <v>466200</v>
      </c>
    </row>
    <row r="319" spans="1:4" x14ac:dyDescent="0.3">
      <c r="A319">
        <v>5.8680000000000003</v>
      </c>
      <c r="B319">
        <v>9.9700000000000006</v>
      </c>
      <c r="C319">
        <v>16.899999999999999</v>
      </c>
      <c r="D319" s="2">
        <v>405300</v>
      </c>
    </row>
    <row r="320" spans="1:4" x14ac:dyDescent="0.3">
      <c r="A320">
        <v>6.3330000000000002</v>
      </c>
      <c r="B320">
        <v>7.34</v>
      </c>
      <c r="C320">
        <v>16.899999999999999</v>
      </c>
      <c r="D320" s="2">
        <v>474600</v>
      </c>
    </row>
    <row r="321" spans="1:4" x14ac:dyDescent="0.3">
      <c r="A321">
        <v>6.1440000000000001</v>
      </c>
      <c r="B321">
        <v>9.09</v>
      </c>
      <c r="C321">
        <v>16.899999999999999</v>
      </c>
      <c r="D321" s="2">
        <v>415800</v>
      </c>
    </row>
    <row r="322" spans="1:4" x14ac:dyDescent="0.3">
      <c r="A322">
        <v>5.7060000000000004</v>
      </c>
      <c r="B322">
        <v>12.43</v>
      </c>
      <c r="C322">
        <v>16.899999999999999</v>
      </c>
      <c r="D322" s="2">
        <v>359100</v>
      </c>
    </row>
    <row r="323" spans="1:4" x14ac:dyDescent="0.3">
      <c r="A323">
        <v>6.0309999999999997</v>
      </c>
      <c r="B323">
        <v>7.83</v>
      </c>
      <c r="C323">
        <v>16.899999999999999</v>
      </c>
      <c r="D323" s="2">
        <v>407400</v>
      </c>
    </row>
    <row r="324" spans="1:4" x14ac:dyDescent="0.3">
      <c r="A324">
        <v>6.3159999999999998</v>
      </c>
      <c r="B324">
        <v>5.68</v>
      </c>
      <c r="C324">
        <v>20.2</v>
      </c>
      <c r="D324" s="2">
        <v>466200</v>
      </c>
    </row>
    <row r="325" spans="1:4" x14ac:dyDescent="0.3">
      <c r="A325">
        <v>6.31</v>
      </c>
      <c r="B325">
        <v>6.75</v>
      </c>
      <c r="C325">
        <v>20.2</v>
      </c>
      <c r="D325" s="2">
        <v>434700</v>
      </c>
    </row>
    <row r="326" spans="1:4" x14ac:dyDescent="0.3">
      <c r="A326">
        <v>6.0369999999999999</v>
      </c>
      <c r="B326">
        <v>8.01</v>
      </c>
      <c r="C326">
        <v>20.2</v>
      </c>
      <c r="D326" s="2">
        <v>443100</v>
      </c>
    </row>
    <row r="327" spans="1:4" x14ac:dyDescent="0.3">
      <c r="A327">
        <v>5.8689999999999998</v>
      </c>
      <c r="B327">
        <v>9.8000000000000007</v>
      </c>
      <c r="C327">
        <v>20.2</v>
      </c>
      <c r="D327" s="2">
        <v>409500</v>
      </c>
    </row>
    <row r="328" spans="1:4" x14ac:dyDescent="0.3">
      <c r="A328">
        <v>5.8949999999999996</v>
      </c>
      <c r="B328">
        <v>10.56</v>
      </c>
      <c r="C328">
        <v>20.2</v>
      </c>
      <c r="D328" s="2">
        <v>388500</v>
      </c>
    </row>
    <row r="329" spans="1:4" x14ac:dyDescent="0.3">
      <c r="A329">
        <v>6.0590000000000002</v>
      </c>
      <c r="B329">
        <v>8.51</v>
      </c>
      <c r="C329">
        <v>20.2</v>
      </c>
      <c r="D329" s="2">
        <v>432600</v>
      </c>
    </row>
    <row r="330" spans="1:4" x14ac:dyDescent="0.3">
      <c r="A330">
        <v>5.9850000000000003</v>
      </c>
      <c r="B330">
        <v>9.74</v>
      </c>
      <c r="C330">
        <v>20.2</v>
      </c>
      <c r="D330" s="2">
        <v>399000</v>
      </c>
    </row>
    <row r="331" spans="1:4" x14ac:dyDescent="0.3">
      <c r="A331">
        <v>5.968</v>
      </c>
      <c r="B331">
        <v>9.2899999999999991</v>
      </c>
      <c r="C331">
        <v>20.2</v>
      </c>
      <c r="D331" s="2">
        <v>392700</v>
      </c>
    </row>
    <row r="332" spans="1:4" x14ac:dyDescent="0.3">
      <c r="A332">
        <v>7.2409999999999997</v>
      </c>
      <c r="B332">
        <v>5.49</v>
      </c>
      <c r="C332">
        <v>15.5</v>
      </c>
      <c r="D332" s="2">
        <v>686700</v>
      </c>
    </row>
    <row r="333" spans="1:4" x14ac:dyDescent="0.3">
      <c r="A333">
        <v>6.54</v>
      </c>
      <c r="B333">
        <v>8.65</v>
      </c>
      <c r="C333">
        <v>15.9</v>
      </c>
      <c r="D333" s="2">
        <v>346500</v>
      </c>
    </row>
    <row r="334" spans="1:4" x14ac:dyDescent="0.3">
      <c r="A334">
        <v>6.6959999999999997</v>
      </c>
      <c r="B334">
        <v>7.18</v>
      </c>
      <c r="C334">
        <v>17.600000000000001</v>
      </c>
      <c r="D334" s="2">
        <v>501900</v>
      </c>
    </row>
    <row r="335" spans="1:4" x14ac:dyDescent="0.3">
      <c r="A335">
        <v>6.8739999999999997</v>
      </c>
      <c r="B335">
        <v>4.6100000000000003</v>
      </c>
      <c r="C335">
        <v>17.600000000000001</v>
      </c>
      <c r="D335" s="2">
        <v>655200</v>
      </c>
    </row>
    <row r="336" spans="1:4" x14ac:dyDescent="0.3">
      <c r="A336">
        <v>6.0140000000000002</v>
      </c>
      <c r="B336">
        <v>10.53</v>
      </c>
      <c r="C336">
        <v>18.8</v>
      </c>
      <c r="D336" s="2">
        <v>367500</v>
      </c>
    </row>
    <row r="337" spans="1:4" x14ac:dyDescent="0.3">
      <c r="A337">
        <v>5.8979999999999997</v>
      </c>
      <c r="B337">
        <v>12.67</v>
      </c>
      <c r="C337">
        <v>18.8</v>
      </c>
      <c r="D337" s="2">
        <v>361200</v>
      </c>
    </row>
    <row r="338" spans="1:4" x14ac:dyDescent="0.3">
      <c r="A338">
        <v>6.516</v>
      </c>
      <c r="B338">
        <v>6.36</v>
      </c>
      <c r="C338">
        <v>17.899999999999999</v>
      </c>
      <c r="D338" s="2">
        <v>485100</v>
      </c>
    </row>
    <row r="339" spans="1:4" x14ac:dyDescent="0.3">
      <c r="A339">
        <v>6.6349999999999998</v>
      </c>
      <c r="B339">
        <v>5.99</v>
      </c>
      <c r="C339">
        <v>17</v>
      </c>
      <c r="D339" s="2">
        <v>514500</v>
      </c>
    </row>
    <row r="340" spans="1:4" x14ac:dyDescent="0.3">
      <c r="A340">
        <v>6.9390000000000001</v>
      </c>
      <c r="B340">
        <v>5.89</v>
      </c>
      <c r="C340">
        <v>19.7</v>
      </c>
      <c r="D340" s="2">
        <v>558600</v>
      </c>
    </row>
    <row r="341" spans="1:4" x14ac:dyDescent="0.3">
      <c r="A341">
        <v>6.49</v>
      </c>
      <c r="B341">
        <v>5.98</v>
      </c>
      <c r="C341">
        <v>19.7</v>
      </c>
      <c r="D341" s="2">
        <v>480900</v>
      </c>
    </row>
    <row r="342" spans="1:4" x14ac:dyDescent="0.3">
      <c r="A342">
        <v>6.5789999999999997</v>
      </c>
      <c r="B342">
        <v>5.49</v>
      </c>
      <c r="C342">
        <v>18.3</v>
      </c>
      <c r="D342" s="2">
        <v>506100</v>
      </c>
    </row>
    <row r="343" spans="1:4" x14ac:dyDescent="0.3">
      <c r="A343">
        <v>5.8840000000000003</v>
      </c>
      <c r="B343">
        <v>7.79</v>
      </c>
      <c r="C343">
        <v>18.3</v>
      </c>
      <c r="D343" s="2">
        <v>390600</v>
      </c>
    </row>
    <row r="344" spans="1:4" x14ac:dyDescent="0.3">
      <c r="A344">
        <v>6.7279999999999998</v>
      </c>
      <c r="B344">
        <v>4.5</v>
      </c>
      <c r="C344">
        <v>17</v>
      </c>
      <c r="D344" s="2">
        <v>632100</v>
      </c>
    </row>
    <row r="345" spans="1:4" x14ac:dyDescent="0.3">
      <c r="A345">
        <v>5.6630000000000003</v>
      </c>
      <c r="B345">
        <v>8.0500000000000007</v>
      </c>
      <c r="C345">
        <v>22</v>
      </c>
      <c r="D345" s="2">
        <v>382200</v>
      </c>
    </row>
    <row r="346" spans="1:4" x14ac:dyDescent="0.3">
      <c r="A346">
        <v>5.9359999999999999</v>
      </c>
      <c r="B346">
        <v>5.57</v>
      </c>
      <c r="C346">
        <v>22</v>
      </c>
      <c r="D346" s="2">
        <v>432600</v>
      </c>
    </row>
    <row r="347" spans="1:4" x14ac:dyDescent="0.3">
      <c r="A347">
        <v>6.2119999999999997</v>
      </c>
      <c r="B347">
        <v>17.600000000000001</v>
      </c>
      <c r="C347">
        <v>20.2</v>
      </c>
      <c r="D347" s="2">
        <v>373800</v>
      </c>
    </row>
    <row r="348" spans="1:4" x14ac:dyDescent="0.3">
      <c r="A348">
        <v>6.3949999999999996</v>
      </c>
      <c r="B348">
        <v>13.27</v>
      </c>
      <c r="C348">
        <v>20.2</v>
      </c>
      <c r="D348" s="2">
        <v>455700</v>
      </c>
    </row>
    <row r="349" spans="1:4" x14ac:dyDescent="0.3">
      <c r="A349">
        <v>6.1269999999999998</v>
      </c>
      <c r="B349">
        <v>11.48</v>
      </c>
      <c r="C349">
        <v>20.2</v>
      </c>
      <c r="D349" s="2">
        <v>476700</v>
      </c>
    </row>
    <row r="350" spans="1:4" x14ac:dyDescent="0.3">
      <c r="A350">
        <v>6.1120000000000001</v>
      </c>
      <c r="B350">
        <v>12.67</v>
      </c>
      <c r="C350">
        <v>20.2</v>
      </c>
      <c r="D350" s="2">
        <v>474600</v>
      </c>
    </row>
    <row r="351" spans="1:4" x14ac:dyDescent="0.3">
      <c r="A351">
        <v>6.3979999999999997</v>
      </c>
      <c r="B351">
        <v>7.79</v>
      </c>
      <c r="C351">
        <v>20.2</v>
      </c>
      <c r="D351" s="2">
        <v>525000</v>
      </c>
    </row>
    <row r="352" spans="1:4" x14ac:dyDescent="0.3">
      <c r="A352">
        <v>6.2510000000000003</v>
      </c>
      <c r="B352">
        <v>14.19</v>
      </c>
      <c r="C352">
        <v>20.2</v>
      </c>
      <c r="D352" s="2">
        <v>417900</v>
      </c>
    </row>
    <row r="353" spans="1:4" x14ac:dyDescent="0.3">
      <c r="A353">
        <v>5.3620000000000001</v>
      </c>
      <c r="B353">
        <v>10.19</v>
      </c>
      <c r="C353">
        <v>20.2</v>
      </c>
      <c r="D353" s="2">
        <v>436800</v>
      </c>
    </row>
    <row r="354" spans="1:4" x14ac:dyDescent="0.3">
      <c r="A354">
        <v>5.8029999999999999</v>
      </c>
      <c r="B354">
        <v>14.64</v>
      </c>
      <c r="C354">
        <v>20.2</v>
      </c>
      <c r="D354" s="2">
        <v>352800</v>
      </c>
    </row>
    <row r="355" spans="1:4" x14ac:dyDescent="0.3">
      <c r="A355">
        <v>3.5609999999999999</v>
      </c>
      <c r="B355">
        <v>7.12</v>
      </c>
      <c r="C355">
        <v>20.2</v>
      </c>
      <c r="D355" s="2">
        <v>577500</v>
      </c>
    </row>
    <row r="356" spans="1:4" x14ac:dyDescent="0.3">
      <c r="A356">
        <v>4.9630000000000001</v>
      </c>
      <c r="B356">
        <v>14</v>
      </c>
      <c r="C356">
        <v>20.2</v>
      </c>
      <c r="D356" s="2">
        <v>459900</v>
      </c>
    </row>
    <row r="357" spans="1:4" x14ac:dyDescent="0.3">
      <c r="A357">
        <v>3.863</v>
      </c>
      <c r="B357">
        <v>13.33</v>
      </c>
      <c r="C357">
        <v>20.2</v>
      </c>
      <c r="D357" s="2">
        <v>485100</v>
      </c>
    </row>
    <row r="358" spans="1:4" x14ac:dyDescent="0.3">
      <c r="A358">
        <v>4.9059999999999997</v>
      </c>
      <c r="B358">
        <v>34.770000000000003</v>
      </c>
      <c r="C358">
        <v>20.2</v>
      </c>
      <c r="D358" s="2">
        <v>289800</v>
      </c>
    </row>
    <row r="359" spans="1:4" x14ac:dyDescent="0.3">
      <c r="A359">
        <v>4.1379999999999999</v>
      </c>
      <c r="B359">
        <v>37.97</v>
      </c>
      <c r="C359">
        <v>20.2</v>
      </c>
      <c r="D359" s="2">
        <v>289800</v>
      </c>
    </row>
    <row r="360" spans="1:4" x14ac:dyDescent="0.3">
      <c r="A360">
        <v>7.3129999999999997</v>
      </c>
      <c r="B360">
        <v>13.44</v>
      </c>
      <c r="C360">
        <v>20.2</v>
      </c>
      <c r="D360" s="2">
        <v>315000</v>
      </c>
    </row>
    <row r="361" spans="1:4" x14ac:dyDescent="0.3">
      <c r="A361">
        <v>6.649</v>
      </c>
      <c r="B361">
        <v>23.24</v>
      </c>
      <c r="C361">
        <v>20.2</v>
      </c>
      <c r="D361" s="2">
        <v>291900</v>
      </c>
    </row>
    <row r="362" spans="1:4" x14ac:dyDescent="0.3">
      <c r="A362">
        <v>6.7939999999999996</v>
      </c>
      <c r="B362">
        <v>21.24</v>
      </c>
      <c r="C362">
        <v>20.2</v>
      </c>
      <c r="D362" s="2">
        <v>279300</v>
      </c>
    </row>
    <row r="363" spans="1:4" x14ac:dyDescent="0.3">
      <c r="A363">
        <v>6.38</v>
      </c>
      <c r="B363">
        <v>23.69</v>
      </c>
      <c r="C363">
        <v>20.2</v>
      </c>
      <c r="D363" s="2">
        <v>275100</v>
      </c>
    </row>
    <row r="364" spans="1:4" x14ac:dyDescent="0.3">
      <c r="A364">
        <v>6.2229999999999999</v>
      </c>
      <c r="B364">
        <v>21.78</v>
      </c>
      <c r="C364">
        <v>20.2</v>
      </c>
      <c r="D364" s="2">
        <v>214200</v>
      </c>
    </row>
    <row r="365" spans="1:4" x14ac:dyDescent="0.3">
      <c r="A365">
        <v>6.968</v>
      </c>
      <c r="B365">
        <v>17.21</v>
      </c>
      <c r="C365">
        <v>20.2</v>
      </c>
      <c r="D365" s="2">
        <v>218400</v>
      </c>
    </row>
    <row r="366" spans="1:4" x14ac:dyDescent="0.3">
      <c r="A366">
        <v>6.5449999999999999</v>
      </c>
      <c r="B366">
        <v>21.08</v>
      </c>
      <c r="C366">
        <v>20.2</v>
      </c>
      <c r="D366" s="2">
        <v>228900</v>
      </c>
    </row>
    <row r="367" spans="1:4" x14ac:dyDescent="0.3">
      <c r="A367">
        <v>5.5359999999999996</v>
      </c>
      <c r="B367">
        <v>23.6</v>
      </c>
      <c r="C367">
        <v>20.2</v>
      </c>
      <c r="D367" s="2">
        <v>237300</v>
      </c>
    </row>
    <row r="368" spans="1:4" x14ac:dyDescent="0.3">
      <c r="A368">
        <v>5.52</v>
      </c>
      <c r="B368">
        <v>24.56</v>
      </c>
      <c r="C368">
        <v>20.2</v>
      </c>
      <c r="D368" s="2">
        <v>258300</v>
      </c>
    </row>
    <row r="369" spans="1:4" x14ac:dyDescent="0.3">
      <c r="A369">
        <v>4.3680000000000003</v>
      </c>
      <c r="B369">
        <v>30.63</v>
      </c>
      <c r="C369">
        <v>20.2</v>
      </c>
      <c r="D369" s="2">
        <v>184800</v>
      </c>
    </row>
    <row r="370" spans="1:4" x14ac:dyDescent="0.3">
      <c r="A370">
        <v>5.2770000000000001</v>
      </c>
      <c r="B370">
        <v>30.81</v>
      </c>
      <c r="C370">
        <v>20.2</v>
      </c>
      <c r="D370" s="2">
        <v>151200</v>
      </c>
    </row>
    <row r="371" spans="1:4" x14ac:dyDescent="0.3">
      <c r="A371">
        <v>4.6520000000000001</v>
      </c>
      <c r="B371">
        <v>28.28</v>
      </c>
      <c r="C371">
        <v>20.2</v>
      </c>
      <c r="D371" s="2">
        <v>220500</v>
      </c>
    </row>
    <row r="372" spans="1:4" x14ac:dyDescent="0.3">
      <c r="A372">
        <v>5</v>
      </c>
      <c r="B372">
        <v>31.99</v>
      </c>
      <c r="C372">
        <v>20.2</v>
      </c>
      <c r="D372" s="2">
        <v>155400</v>
      </c>
    </row>
    <row r="373" spans="1:4" x14ac:dyDescent="0.3">
      <c r="A373">
        <v>4.88</v>
      </c>
      <c r="B373">
        <v>30.62</v>
      </c>
      <c r="C373">
        <v>20.2</v>
      </c>
      <c r="D373" s="2">
        <v>214200</v>
      </c>
    </row>
    <row r="374" spans="1:4" x14ac:dyDescent="0.3">
      <c r="A374">
        <v>5.39</v>
      </c>
      <c r="B374">
        <v>20.85</v>
      </c>
      <c r="C374">
        <v>20.2</v>
      </c>
      <c r="D374" s="2">
        <v>241500</v>
      </c>
    </row>
    <row r="375" spans="1:4" x14ac:dyDescent="0.3">
      <c r="A375">
        <v>5.7130000000000001</v>
      </c>
      <c r="B375">
        <v>17.11</v>
      </c>
      <c r="C375">
        <v>20.2</v>
      </c>
      <c r="D375" s="2">
        <v>317100</v>
      </c>
    </row>
    <row r="376" spans="1:4" x14ac:dyDescent="0.3">
      <c r="A376">
        <v>6.0510000000000002</v>
      </c>
      <c r="B376">
        <v>18.760000000000002</v>
      </c>
      <c r="C376">
        <v>20.2</v>
      </c>
      <c r="D376" s="2">
        <v>487200</v>
      </c>
    </row>
    <row r="377" spans="1:4" x14ac:dyDescent="0.3">
      <c r="A377">
        <v>5.0359999999999996</v>
      </c>
      <c r="B377">
        <v>25.68</v>
      </c>
      <c r="C377">
        <v>20.2</v>
      </c>
      <c r="D377" s="2">
        <v>203700</v>
      </c>
    </row>
    <row r="378" spans="1:4" x14ac:dyDescent="0.3">
      <c r="A378">
        <v>6.1929999999999996</v>
      </c>
      <c r="B378">
        <v>15.17</v>
      </c>
      <c r="C378">
        <v>20.2</v>
      </c>
      <c r="D378" s="2">
        <v>289800</v>
      </c>
    </row>
    <row r="379" spans="1:4" x14ac:dyDescent="0.3">
      <c r="A379">
        <v>5.8869999999999996</v>
      </c>
      <c r="B379">
        <v>16.350000000000001</v>
      </c>
      <c r="C379">
        <v>20.2</v>
      </c>
      <c r="D379" s="2">
        <v>266700</v>
      </c>
    </row>
    <row r="380" spans="1:4" x14ac:dyDescent="0.3">
      <c r="A380">
        <v>6.4710000000000001</v>
      </c>
      <c r="B380">
        <v>17.12</v>
      </c>
      <c r="C380">
        <v>20.2</v>
      </c>
      <c r="D380" s="2">
        <v>275100</v>
      </c>
    </row>
    <row r="381" spans="1:4" x14ac:dyDescent="0.3">
      <c r="A381">
        <v>6.4050000000000002</v>
      </c>
      <c r="B381">
        <v>19.37</v>
      </c>
      <c r="C381">
        <v>20.2</v>
      </c>
      <c r="D381" s="2">
        <v>262500</v>
      </c>
    </row>
    <row r="382" spans="1:4" x14ac:dyDescent="0.3">
      <c r="A382">
        <v>5.7469999999999999</v>
      </c>
      <c r="B382">
        <v>19.920000000000002</v>
      </c>
      <c r="C382">
        <v>20.2</v>
      </c>
      <c r="D382" s="2">
        <v>178500</v>
      </c>
    </row>
    <row r="383" spans="1:4" x14ac:dyDescent="0.3">
      <c r="A383">
        <v>5.4530000000000003</v>
      </c>
      <c r="B383">
        <v>30.59</v>
      </c>
      <c r="C383">
        <v>20.2</v>
      </c>
      <c r="D383" s="2">
        <v>105000</v>
      </c>
    </row>
    <row r="384" spans="1:4" x14ac:dyDescent="0.3">
      <c r="A384">
        <v>5.8520000000000003</v>
      </c>
      <c r="B384">
        <v>29.97</v>
      </c>
      <c r="C384">
        <v>20.2</v>
      </c>
      <c r="D384" s="2">
        <v>132300</v>
      </c>
    </row>
    <row r="385" spans="1:4" x14ac:dyDescent="0.3">
      <c r="A385">
        <v>5.9870000000000001</v>
      </c>
      <c r="B385">
        <v>26.77</v>
      </c>
      <c r="C385">
        <v>20.2</v>
      </c>
      <c r="D385" s="2">
        <v>117600</v>
      </c>
    </row>
    <row r="386" spans="1:4" x14ac:dyDescent="0.3">
      <c r="A386">
        <v>6.343</v>
      </c>
      <c r="B386">
        <v>20.32</v>
      </c>
      <c r="C386">
        <v>20.2</v>
      </c>
      <c r="D386" s="2">
        <v>151200</v>
      </c>
    </row>
    <row r="387" spans="1:4" x14ac:dyDescent="0.3">
      <c r="A387">
        <v>6.4039999999999999</v>
      </c>
      <c r="B387">
        <v>20.309999999999999</v>
      </c>
      <c r="C387">
        <v>20.2</v>
      </c>
      <c r="D387" s="2">
        <v>254100</v>
      </c>
    </row>
    <row r="388" spans="1:4" x14ac:dyDescent="0.3">
      <c r="A388">
        <v>5.3490000000000002</v>
      </c>
      <c r="B388">
        <v>19.77</v>
      </c>
      <c r="C388">
        <v>20.2</v>
      </c>
      <c r="D388" s="2">
        <v>174300</v>
      </c>
    </row>
    <row r="389" spans="1:4" x14ac:dyDescent="0.3">
      <c r="A389">
        <v>5.5309999999999997</v>
      </c>
      <c r="B389">
        <v>27.38</v>
      </c>
      <c r="C389">
        <v>20.2</v>
      </c>
      <c r="D389" s="2">
        <v>178500</v>
      </c>
    </row>
    <row r="390" spans="1:4" x14ac:dyDescent="0.3">
      <c r="A390">
        <v>5.6829999999999998</v>
      </c>
      <c r="B390">
        <v>22.98</v>
      </c>
      <c r="C390">
        <v>20.2</v>
      </c>
      <c r="D390" s="2">
        <v>105000</v>
      </c>
    </row>
    <row r="391" spans="1:4" x14ac:dyDescent="0.3">
      <c r="A391">
        <v>4.1379999999999999</v>
      </c>
      <c r="B391">
        <v>23.34</v>
      </c>
      <c r="C391">
        <v>20.2</v>
      </c>
      <c r="D391" s="2">
        <v>249900</v>
      </c>
    </row>
    <row r="392" spans="1:4" x14ac:dyDescent="0.3">
      <c r="A392">
        <v>5.6079999999999997</v>
      </c>
      <c r="B392">
        <v>12.13</v>
      </c>
      <c r="C392">
        <v>20.2</v>
      </c>
      <c r="D392" s="2">
        <v>585900</v>
      </c>
    </row>
    <row r="393" spans="1:4" x14ac:dyDescent="0.3">
      <c r="A393">
        <v>5.617</v>
      </c>
      <c r="B393">
        <v>26.4</v>
      </c>
      <c r="C393">
        <v>20.2</v>
      </c>
      <c r="D393" s="2">
        <v>361200</v>
      </c>
    </row>
    <row r="394" spans="1:4" x14ac:dyDescent="0.3">
      <c r="A394">
        <v>6.8520000000000003</v>
      </c>
      <c r="B394">
        <v>19.78</v>
      </c>
      <c r="C394">
        <v>20.2</v>
      </c>
      <c r="D394" s="2">
        <v>577500</v>
      </c>
    </row>
    <row r="395" spans="1:4" x14ac:dyDescent="0.3">
      <c r="A395">
        <v>5.7569999999999997</v>
      </c>
      <c r="B395">
        <v>10.11</v>
      </c>
      <c r="C395">
        <v>20.2</v>
      </c>
      <c r="D395" s="2">
        <v>315000</v>
      </c>
    </row>
    <row r="396" spans="1:4" x14ac:dyDescent="0.3">
      <c r="A396">
        <v>6.657</v>
      </c>
      <c r="B396">
        <v>21.22</v>
      </c>
      <c r="C396">
        <v>20.2</v>
      </c>
      <c r="D396" s="2">
        <v>361200</v>
      </c>
    </row>
    <row r="397" spans="1:4" x14ac:dyDescent="0.3">
      <c r="A397">
        <v>4.6280000000000001</v>
      </c>
      <c r="B397">
        <v>34.369999999999997</v>
      </c>
      <c r="C397">
        <v>20.2</v>
      </c>
      <c r="D397" s="2">
        <v>375900</v>
      </c>
    </row>
    <row r="398" spans="1:4" x14ac:dyDescent="0.3">
      <c r="A398">
        <v>5.1550000000000002</v>
      </c>
      <c r="B398">
        <v>20.079999999999998</v>
      </c>
      <c r="C398">
        <v>20.2</v>
      </c>
      <c r="D398" s="2">
        <v>342300</v>
      </c>
    </row>
    <row r="399" spans="1:4" x14ac:dyDescent="0.3">
      <c r="A399">
        <v>4.5190000000000001</v>
      </c>
      <c r="B399">
        <v>36.979999999999997</v>
      </c>
      <c r="C399">
        <v>20.2</v>
      </c>
      <c r="D399" s="2">
        <v>147000</v>
      </c>
    </row>
    <row r="400" spans="1:4" x14ac:dyDescent="0.3">
      <c r="A400">
        <v>6.4340000000000002</v>
      </c>
      <c r="B400">
        <v>29.05</v>
      </c>
      <c r="C400">
        <v>20.2</v>
      </c>
      <c r="D400" s="2">
        <v>151200</v>
      </c>
    </row>
    <row r="401" spans="1:4" x14ac:dyDescent="0.3">
      <c r="A401">
        <v>6.782</v>
      </c>
      <c r="B401">
        <v>25.79</v>
      </c>
      <c r="C401">
        <v>20.2</v>
      </c>
      <c r="D401" s="2">
        <v>157500</v>
      </c>
    </row>
    <row r="402" spans="1:4" x14ac:dyDescent="0.3">
      <c r="A402">
        <v>5.3040000000000003</v>
      </c>
      <c r="B402">
        <v>26.64</v>
      </c>
      <c r="C402">
        <v>20.2</v>
      </c>
      <c r="D402" s="2">
        <v>218400</v>
      </c>
    </row>
    <row r="403" spans="1:4" x14ac:dyDescent="0.3">
      <c r="A403">
        <v>5.9569999999999999</v>
      </c>
      <c r="B403">
        <v>20.62</v>
      </c>
      <c r="C403">
        <v>20.2</v>
      </c>
      <c r="D403" s="2">
        <v>184800</v>
      </c>
    </row>
    <row r="404" spans="1:4" x14ac:dyDescent="0.3">
      <c r="A404">
        <v>6.8239999999999998</v>
      </c>
      <c r="B404">
        <v>22.74</v>
      </c>
      <c r="C404">
        <v>20.2</v>
      </c>
      <c r="D404" s="2">
        <v>176400</v>
      </c>
    </row>
    <row r="405" spans="1:4" x14ac:dyDescent="0.3">
      <c r="A405">
        <v>6.4109999999999996</v>
      </c>
      <c r="B405">
        <v>15.02</v>
      </c>
      <c r="C405">
        <v>20.2</v>
      </c>
      <c r="D405" s="2">
        <v>350700</v>
      </c>
    </row>
    <row r="406" spans="1:4" x14ac:dyDescent="0.3">
      <c r="A406">
        <v>6.0060000000000002</v>
      </c>
      <c r="B406">
        <v>15.7</v>
      </c>
      <c r="C406">
        <v>20.2</v>
      </c>
      <c r="D406" s="2">
        <v>298200</v>
      </c>
    </row>
    <row r="407" spans="1:4" x14ac:dyDescent="0.3">
      <c r="A407">
        <v>5.6479999999999997</v>
      </c>
      <c r="B407">
        <v>14.1</v>
      </c>
      <c r="C407">
        <v>20.2</v>
      </c>
      <c r="D407" s="2">
        <v>436800</v>
      </c>
    </row>
    <row r="408" spans="1:4" x14ac:dyDescent="0.3">
      <c r="A408">
        <v>6.1029999999999998</v>
      </c>
      <c r="B408">
        <v>23.29</v>
      </c>
      <c r="C408">
        <v>20.2</v>
      </c>
      <c r="D408" s="2">
        <v>281400</v>
      </c>
    </row>
    <row r="409" spans="1:4" x14ac:dyDescent="0.3">
      <c r="A409">
        <v>5.5650000000000004</v>
      </c>
      <c r="B409">
        <v>17.16</v>
      </c>
      <c r="C409">
        <v>20.2</v>
      </c>
      <c r="D409" s="2">
        <v>245700</v>
      </c>
    </row>
    <row r="410" spans="1:4" x14ac:dyDescent="0.3">
      <c r="A410">
        <v>5.8959999999999999</v>
      </c>
      <c r="B410">
        <v>24.39</v>
      </c>
      <c r="C410">
        <v>20.2</v>
      </c>
      <c r="D410" s="2">
        <v>174300</v>
      </c>
    </row>
    <row r="411" spans="1:4" x14ac:dyDescent="0.3">
      <c r="A411">
        <v>5.8369999999999997</v>
      </c>
      <c r="B411">
        <v>15.69</v>
      </c>
      <c r="C411">
        <v>20.2</v>
      </c>
      <c r="D411" s="2">
        <v>214200</v>
      </c>
    </row>
    <row r="412" spans="1:4" x14ac:dyDescent="0.3">
      <c r="A412">
        <v>6.202</v>
      </c>
      <c r="B412">
        <v>14.52</v>
      </c>
      <c r="C412">
        <v>20.2</v>
      </c>
      <c r="D412" s="2">
        <v>228900</v>
      </c>
    </row>
    <row r="413" spans="1:4" x14ac:dyDescent="0.3">
      <c r="A413">
        <v>6.1929999999999996</v>
      </c>
      <c r="B413">
        <v>21.52</v>
      </c>
      <c r="C413">
        <v>20.2</v>
      </c>
      <c r="D413" s="2">
        <v>231000</v>
      </c>
    </row>
    <row r="414" spans="1:4" x14ac:dyDescent="0.3">
      <c r="A414">
        <v>6.38</v>
      </c>
      <c r="B414">
        <v>24.08</v>
      </c>
      <c r="C414">
        <v>20.2</v>
      </c>
      <c r="D414" s="2">
        <v>199500</v>
      </c>
    </row>
    <row r="415" spans="1:4" x14ac:dyDescent="0.3">
      <c r="A415">
        <v>6.3479999999999999</v>
      </c>
      <c r="B415">
        <v>17.64</v>
      </c>
      <c r="C415">
        <v>20.2</v>
      </c>
      <c r="D415" s="2">
        <v>304500</v>
      </c>
    </row>
    <row r="416" spans="1:4" x14ac:dyDescent="0.3">
      <c r="A416">
        <v>6.8330000000000002</v>
      </c>
      <c r="B416">
        <v>19.690000000000001</v>
      </c>
      <c r="C416">
        <v>20.2</v>
      </c>
      <c r="D416" s="2">
        <v>296100</v>
      </c>
    </row>
    <row r="417" spans="1:4" x14ac:dyDescent="0.3">
      <c r="A417">
        <v>6.4249999999999998</v>
      </c>
      <c r="B417">
        <v>12.03</v>
      </c>
      <c r="C417">
        <v>20.2</v>
      </c>
      <c r="D417" s="2">
        <v>338100</v>
      </c>
    </row>
    <row r="418" spans="1:4" x14ac:dyDescent="0.3">
      <c r="A418">
        <v>6.4359999999999999</v>
      </c>
      <c r="B418">
        <v>16.22</v>
      </c>
      <c r="C418">
        <v>20.2</v>
      </c>
      <c r="D418" s="2">
        <v>300300</v>
      </c>
    </row>
    <row r="419" spans="1:4" x14ac:dyDescent="0.3">
      <c r="A419">
        <v>6.2080000000000002</v>
      </c>
      <c r="B419">
        <v>15.17</v>
      </c>
      <c r="C419">
        <v>20.2</v>
      </c>
      <c r="D419" s="2">
        <v>245700</v>
      </c>
    </row>
    <row r="420" spans="1:4" x14ac:dyDescent="0.3">
      <c r="A420">
        <v>6.6289999999999996</v>
      </c>
      <c r="B420">
        <v>23.27</v>
      </c>
      <c r="C420">
        <v>20.2</v>
      </c>
      <c r="D420" s="2">
        <v>281400</v>
      </c>
    </row>
    <row r="421" spans="1:4" x14ac:dyDescent="0.3">
      <c r="A421">
        <v>6.4610000000000003</v>
      </c>
      <c r="B421">
        <v>18.05</v>
      </c>
      <c r="C421">
        <v>20.2</v>
      </c>
      <c r="D421" s="2">
        <v>201600</v>
      </c>
    </row>
    <row r="422" spans="1:4" x14ac:dyDescent="0.3">
      <c r="A422">
        <v>6.1520000000000001</v>
      </c>
      <c r="B422">
        <v>26.45</v>
      </c>
      <c r="C422">
        <v>20.2</v>
      </c>
      <c r="D422" s="2">
        <v>182700</v>
      </c>
    </row>
    <row r="423" spans="1:4" x14ac:dyDescent="0.3">
      <c r="A423">
        <v>5.9349999999999996</v>
      </c>
      <c r="B423">
        <v>34.020000000000003</v>
      </c>
      <c r="C423">
        <v>20.2</v>
      </c>
      <c r="D423" s="2">
        <v>176400</v>
      </c>
    </row>
    <row r="424" spans="1:4" x14ac:dyDescent="0.3">
      <c r="A424">
        <v>5.6269999999999998</v>
      </c>
      <c r="B424">
        <v>22.88</v>
      </c>
      <c r="C424">
        <v>20.2</v>
      </c>
      <c r="D424" s="2">
        <v>268800</v>
      </c>
    </row>
    <row r="425" spans="1:4" x14ac:dyDescent="0.3">
      <c r="A425">
        <v>5.8179999999999996</v>
      </c>
      <c r="B425">
        <v>22.11</v>
      </c>
      <c r="C425">
        <v>20.2</v>
      </c>
      <c r="D425" s="2">
        <v>220500</v>
      </c>
    </row>
    <row r="426" spans="1:4" x14ac:dyDescent="0.3">
      <c r="A426">
        <v>6.4059999999999997</v>
      </c>
      <c r="B426">
        <v>19.52</v>
      </c>
      <c r="C426">
        <v>20.2</v>
      </c>
      <c r="D426" s="2">
        <v>359100</v>
      </c>
    </row>
    <row r="427" spans="1:4" x14ac:dyDescent="0.3">
      <c r="A427">
        <v>6.2190000000000003</v>
      </c>
      <c r="B427">
        <v>16.59</v>
      </c>
      <c r="C427">
        <v>20.2</v>
      </c>
      <c r="D427" s="2">
        <v>386400</v>
      </c>
    </row>
    <row r="428" spans="1:4" x14ac:dyDescent="0.3">
      <c r="A428">
        <v>6.4850000000000003</v>
      </c>
      <c r="B428">
        <v>18.850000000000001</v>
      </c>
      <c r="C428">
        <v>20.2</v>
      </c>
      <c r="D428" s="2">
        <v>323400</v>
      </c>
    </row>
    <row r="429" spans="1:4" x14ac:dyDescent="0.3">
      <c r="A429">
        <v>5.8540000000000001</v>
      </c>
      <c r="B429">
        <v>23.79</v>
      </c>
      <c r="C429">
        <v>20.2</v>
      </c>
      <c r="D429" s="2">
        <v>226800</v>
      </c>
    </row>
    <row r="430" spans="1:4" x14ac:dyDescent="0.3">
      <c r="A430">
        <v>6.4589999999999996</v>
      </c>
      <c r="B430">
        <v>23.98</v>
      </c>
      <c r="C430">
        <v>20.2</v>
      </c>
      <c r="D430" s="2">
        <v>247800</v>
      </c>
    </row>
    <row r="431" spans="1:4" x14ac:dyDescent="0.3">
      <c r="A431">
        <v>6.3410000000000002</v>
      </c>
      <c r="B431">
        <v>17.79</v>
      </c>
      <c r="C431">
        <v>20.2</v>
      </c>
      <c r="D431" s="2">
        <v>312900</v>
      </c>
    </row>
    <row r="432" spans="1:4" x14ac:dyDescent="0.3">
      <c r="A432">
        <v>6.2510000000000003</v>
      </c>
      <c r="B432">
        <v>16.440000000000001</v>
      </c>
      <c r="C432">
        <v>20.2</v>
      </c>
      <c r="D432" s="2">
        <v>264600</v>
      </c>
    </row>
    <row r="433" spans="1:4" x14ac:dyDescent="0.3">
      <c r="A433">
        <v>6.1849999999999996</v>
      </c>
      <c r="B433">
        <v>18.13</v>
      </c>
      <c r="C433">
        <v>20.2</v>
      </c>
      <c r="D433" s="2">
        <v>296100</v>
      </c>
    </row>
    <row r="434" spans="1:4" x14ac:dyDescent="0.3">
      <c r="A434">
        <v>6.4169999999999998</v>
      </c>
      <c r="B434">
        <v>19.309999999999999</v>
      </c>
      <c r="C434">
        <v>20.2</v>
      </c>
      <c r="D434" s="2">
        <v>273000</v>
      </c>
    </row>
    <row r="435" spans="1:4" x14ac:dyDescent="0.3">
      <c r="A435">
        <v>6.7489999999999997</v>
      </c>
      <c r="B435">
        <v>17.440000000000001</v>
      </c>
      <c r="C435">
        <v>20.2</v>
      </c>
      <c r="D435" s="2">
        <v>281400</v>
      </c>
    </row>
    <row r="436" spans="1:4" x14ac:dyDescent="0.3">
      <c r="A436">
        <v>6.6550000000000002</v>
      </c>
      <c r="B436">
        <v>17.73</v>
      </c>
      <c r="C436">
        <v>20.2</v>
      </c>
      <c r="D436" s="2">
        <v>319200</v>
      </c>
    </row>
    <row r="437" spans="1:4" x14ac:dyDescent="0.3">
      <c r="A437">
        <v>6.2969999999999997</v>
      </c>
      <c r="B437">
        <v>17.27</v>
      </c>
      <c r="C437">
        <v>20.2</v>
      </c>
      <c r="D437" s="2">
        <v>338100</v>
      </c>
    </row>
    <row r="438" spans="1:4" x14ac:dyDescent="0.3">
      <c r="A438">
        <v>7.3929999999999998</v>
      </c>
      <c r="B438">
        <v>16.739999999999998</v>
      </c>
      <c r="C438">
        <v>20.2</v>
      </c>
      <c r="D438" s="2">
        <v>373800</v>
      </c>
    </row>
    <row r="439" spans="1:4" x14ac:dyDescent="0.3">
      <c r="A439">
        <v>6.7279999999999998</v>
      </c>
      <c r="B439">
        <v>18.71</v>
      </c>
      <c r="C439">
        <v>20.2</v>
      </c>
      <c r="D439" s="2">
        <v>312900</v>
      </c>
    </row>
    <row r="440" spans="1:4" x14ac:dyDescent="0.3">
      <c r="A440">
        <v>6.5250000000000004</v>
      </c>
      <c r="B440">
        <v>18.13</v>
      </c>
      <c r="C440">
        <v>20.2</v>
      </c>
      <c r="D440" s="2">
        <v>296100</v>
      </c>
    </row>
    <row r="441" spans="1:4" x14ac:dyDescent="0.3">
      <c r="A441">
        <v>5.976</v>
      </c>
      <c r="B441">
        <v>19.010000000000002</v>
      </c>
      <c r="C441">
        <v>20.2</v>
      </c>
      <c r="D441" s="2">
        <v>266700</v>
      </c>
    </row>
    <row r="442" spans="1:4" x14ac:dyDescent="0.3">
      <c r="A442">
        <v>5.9359999999999999</v>
      </c>
      <c r="B442">
        <v>16.940000000000001</v>
      </c>
      <c r="C442">
        <v>20.2</v>
      </c>
      <c r="D442" s="2">
        <v>283500</v>
      </c>
    </row>
    <row r="443" spans="1:4" x14ac:dyDescent="0.3">
      <c r="A443">
        <v>6.3010000000000002</v>
      </c>
      <c r="B443">
        <v>16.23</v>
      </c>
      <c r="C443">
        <v>20.2</v>
      </c>
      <c r="D443" s="2">
        <v>312900</v>
      </c>
    </row>
    <row r="444" spans="1:4" x14ac:dyDescent="0.3">
      <c r="A444">
        <v>6.0810000000000004</v>
      </c>
      <c r="B444">
        <v>14.7</v>
      </c>
      <c r="C444">
        <v>20.2</v>
      </c>
      <c r="D444" s="2">
        <v>420000</v>
      </c>
    </row>
    <row r="445" spans="1:4" x14ac:dyDescent="0.3">
      <c r="A445">
        <v>6.7009999999999996</v>
      </c>
      <c r="B445">
        <v>16.420000000000002</v>
      </c>
      <c r="C445">
        <v>20.2</v>
      </c>
      <c r="D445" s="2">
        <v>344400</v>
      </c>
    </row>
    <row r="446" spans="1:4" x14ac:dyDescent="0.3">
      <c r="A446">
        <v>6.3760000000000003</v>
      </c>
      <c r="B446">
        <v>14.65</v>
      </c>
      <c r="C446">
        <v>20.2</v>
      </c>
      <c r="D446" s="2">
        <v>371700</v>
      </c>
    </row>
    <row r="447" spans="1:4" x14ac:dyDescent="0.3">
      <c r="A447">
        <v>6.3170000000000002</v>
      </c>
      <c r="B447">
        <v>13.99</v>
      </c>
      <c r="C447">
        <v>20.2</v>
      </c>
      <c r="D447" s="2">
        <v>409500</v>
      </c>
    </row>
    <row r="448" spans="1:4" x14ac:dyDescent="0.3">
      <c r="A448">
        <v>6.5129999999999999</v>
      </c>
      <c r="B448">
        <v>10.29</v>
      </c>
      <c r="C448">
        <v>20.2</v>
      </c>
      <c r="D448" s="2">
        <v>424200</v>
      </c>
    </row>
    <row r="449" spans="1:4" x14ac:dyDescent="0.3">
      <c r="A449">
        <v>6.2089999999999996</v>
      </c>
      <c r="B449">
        <v>13.22</v>
      </c>
      <c r="C449">
        <v>20.2</v>
      </c>
      <c r="D449" s="2">
        <v>449400</v>
      </c>
    </row>
    <row r="450" spans="1:4" x14ac:dyDescent="0.3">
      <c r="A450">
        <v>5.7590000000000003</v>
      </c>
      <c r="B450">
        <v>14.13</v>
      </c>
      <c r="C450">
        <v>20.2</v>
      </c>
      <c r="D450" s="2">
        <v>417900</v>
      </c>
    </row>
    <row r="451" spans="1:4" x14ac:dyDescent="0.3">
      <c r="A451">
        <v>5.952</v>
      </c>
      <c r="B451">
        <v>17.149999999999999</v>
      </c>
      <c r="C451">
        <v>20.2</v>
      </c>
      <c r="D451" s="2">
        <v>399000</v>
      </c>
    </row>
    <row r="452" spans="1:4" x14ac:dyDescent="0.3">
      <c r="A452">
        <v>6.0030000000000001</v>
      </c>
      <c r="B452">
        <v>21.32</v>
      </c>
      <c r="C452">
        <v>20.2</v>
      </c>
      <c r="D452" s="2">
        <v>401100</v>
      </c>
    </row>
    <row r="453" spans="1:4" x14ac:dyDescent="0.3">
      <c r="A453">
        <v>5.9260000000000002</v>
      </c>
      <c r="B453">
        <v>18.13</v>
      </c>
      <c r="C453">
        <v>20.2</v>
      </c>
      <c r="D453" s="2">
        <v>401100</v>
      </c>
    </row>
    <row r="454" spans="1:4" x14ac:dyDescent="0.3">
      <c r="A454">
        <v>5.7130000000000001</v>
      </c>
      <c r="B454">
        <v>14.76</v>
      </c>
      <c r="C454">
        <v>20.2</v>
      </c>
      <c r="D454" s="2">
        <v>422100</v>
      </c>
    </row>
    <row r="455" spans="1:4" x14ac:dyDescent="0.3">
      <c r="A455">
        <v>6.1669999999999998</v>
      </c>
      <c r="B455">
        <v>16.29</v>
      </c>
      <c r="C455">
        <v>20.2</v>
      </c>
      <c r="D455" s="2">
        <v>417900</v>
      </c>
    </row>
    <row r="456" spans="1:4" x14ac:dyDescent="0.3">
      <c r="A456">
        <v>6.2290000000000001</v>
      </c>
      <c r="B456">
        <v>12.87</v>
      </c>
      <c r="C456">
        <v>20.2</v>
      </c>
      <c r="D456" s="2">
        <v>411600</v>
      </c>
    </row>
    <row r="457" spans="1:4" x14ac:dyDescent="0.3">
      <c r="A457">
        <v>6.4370000000000003</v>
      </c>
      <c r="B457">
        <v>14.36</v>
      </c>
      <c r="C457">
        <v>20.2</v>
      </c>
      <c r="D457" s="2">
        <v>487200</v>
      </c>
    </row>
    <row r="458" spans="1:4" x14ac:dyDescent="0.3">
      <c r="A458">
        <v>6.98</v>
      </c>
      <c r="B458">
        <v>11.66</v>
      </c>
      <c r="C458">
        <v>20.2</v>
      </c>
      <c r="D458" s="2">
        <v>625800</v>
      </c>
    </row>
    <row r="459" spans="1:4" x14ac:dyDescent="0.3">
      <c r="A459">
        <v>5.4269999999999996</v>
      </c>
      <c r="B459">
        <v>18.14</v>
      </c>
      <c r="C459">
        <v>20.2</v>
      </c>
      <c r="D459" s="2">
        <v>289800</v>
      </c>
    </row>
    <row r="460" spans="1:4" x14ac:dyDescent="0.3">
      <c r="A460">
        <v>6.1619999999999999</v>
      </c>
      <c r="B460">
        <v>24.1</v>
      </c>
      <c r="C460">
        <v>20.2</v>
      </c>
      <c r="D460" s="2">
        <v>279300</v>
      </c>
    </row>
    <row r="461" spans="1:4" x14ac:dyDescent="0.3">
      <c r="A461">
        <v>6.484</v>
      </c>
      <c r="B461">
        <v>18.68</v>
      </c>
      <c r="C461">
        <v>20.2</v>
      </c>
      <c r="D461" s="2">
        <v>350700</v>
      </c>
    </row>
    <row r="462" spans="1:4" x14ac:dyDescent="0.3">
      <c r="A462">
        <v>5.3040000000000003</v>
      </c>
      <c r="B462">
        <v>24.91</v>
      </c>
      <c r="C462">
        <v>20.2</v>
      </c>
      <c r="D462" s="2">
        <v>252000</v>
      </c>
    </row>
    <row r="463" spans="1:4" x14ac:dyDescent="0.3">
      <c r="A463">
        <v>6.1849999999999996</v>
      </c>
      <c r="B463">
        <v>18.03</v>
      </c>
      <c r="C463">
        <v>20.2</v>
      </c>
      <c r="D463" s="2">
        <v>306600</v>
      </c>
    </row>
    <row r="464" spans="1:4" x14ac:dyDescent="0.3">
      <c r="A464">
        <v>6.2290000000000001</v>
      </c>
      <c r="B464">
        <v>13.11</v>
      </c>
      <c r="C464">
        <v>20.2</v>
      </c>
      <c r="D464" s="2">
        <v>449400</v>
      </c>
    </row>
    <row r="465" spans="1:4" x14ac:dyDescent="0.3">
      <c r="A465">
        <v>6.242</v>
      </c>
      <c r="B465">
        <v>10.74</v>
      </c>
      <c r="C465">
        <v>20.2</v>
      </c>
      <c r="D465" s="2">
        <v>483000</v>
      </c>
    </row>
    <row r="466" spans="1:4" x14ac:dyDescent="0.3">
      <c r="A466">
        <v>6.75</v>
      </c>
      <c r="B466">
        <v>7.74</v>
      </c>
      <c r="C466">
        <v>20.2</v>
      </c>
      <c r="D466" s="2">
        <v>497700</v>
      </c>
    </row>
    <row r="467" spans="1:4" x14ac:dyDescent="0.3">
      <c r="A467">
        <v>7.0609999999999999</v>
      </c>
      <c r="B467">
        <v>7.01</v>
      </c>
      <c r="C467">
        <v>20.2</v>
      </c>
      <c r="D467" s="2">
        <v>525000</v>
      </c>
    </row>
    <row r="468" spans="1:4" x14ac:dyDescent="0.3">
      <c r="A468">
        <v>5.7619999999999996</v>
      </c>
      <c r="B468">
        <v>10.42</v>
      </c>
      <c r="C468">
        <v>20.2</v>
      </c>
      <c r="D468" s="2">
        <v>457800</v>
      </c>
    </row>
    <row r="469" spans="1:4" x14ac:dyDescent="0.3">
      <c r="A469">
        <v>5.8710000000000004</v>
      </c>
      <c r="B469">
        <v>13.34</v>
      </c>
      <c r="C469">
        <v>20.2</v>
      </c>
      <c r="D469" s="2">
        <v>432600</v>
      </c>
    </row>
    <row r="470" spans="1:4" x14ac:dyDescent="0.3">
      <c r="A470">
        <v>6.3120000000000003</v>
      </c>
      <c r="B470">
        <v>10.58</v>
      </c>
      <c r="C470">
        <v>20.2</v>
      </c>
      <c r="D470" s="2">
        <v>445200</v>
      </c>
    </row>
    <row r="471" spans="1:4" x14ac:dyDescent="0.3">
      <c r="A471">
        <v>6.1139999999999999</v>
      </c>
      <c r="B471">
        <v>14.98</v>
      </c>
      <c r="C471">
        <v>20.2</v>
      </c>
      <c r="D471" s="2">
        <v>401100</v>
      </c>
    </row>
    <row r="472" spans="1:4" x14ac:dyDescent="0.3">
      <c r="A472">
        <v>5.9050000000000002</v>
      </c>
      <c r="B472">
        <v>11.45</v>
      </c>
      <c r="C472">
        <v>20.2</v>
      </c>
      <c r="D472" s="2">
        <v>432600</v>
      </c>
    </row>
    <row r="473" spans="1:4" x14ac:dyDescent="0.3">
      <c r="A473">
        <v>5.4539999999999997</v>
      </c>
      <c r="B473">
        <v>18.059999999999999</v>
      </c>
      <c r="C473">
        <v>20.100000000000001</v>
      </c>
      <c r="D473" s="2">
        <v>319200</v>
      </c>
    </row>
    <row r="474" spans="1:4" x14ac:dyDescent="0.3">
      <c r="A474">
        <v>5.4139999999999997</v>
      </c>
      <c r="B474">
        <v>23.97</v>
      </c>
      <c r="C474">
        <v>20.100000000000001</v>
      </c>
      <c r="D474" s="2">
        <v>147000</v>
      </c>
    </row>
    <row r="475" spans="1:4" x14ac:dyDescent="0.3">
      <c r="A475">
        <v>5.093</v>
      </c>
      <c r="B475">
        <v>29.68</v>
      </c>
      <c r="C475">
        <v>20.100000000000001</v>
      </c>
      <c r="D475" s="2">
        <v>170100</v>
      </c>
    </row>
    <row r="476" spans="1:4" x14ac:dyDescent="0.3">
      <c r="A476">
        <v>5.9829999999999997</v>
      </c>
      <c r="B476">
        <v>18.07</v>
      </c>
      <c r="C476">
        <v>20.100000000000001</v>
      </c>
      <c r="D476" s="2">
        <v>285600</v>
      </c>
    </row>
    <row r="477" spans="1:4" x14ac:dyDescent="0.3">
      <c r="A477">
        <v>5.9829999999999997</v>
      </c>
      <c r="B477">
        <v>13.35</v>
      </c>
      <c r="C477">
        <v>20.100000000000001</v>
      </c>
      <c r="D477" s="2">
        <v>422100</v>
      </c>
    </row>
    <row r="478" spans="1:4" x14ac:dyDescent="0.3">
      <c r="A478">
        <v>5.7069999999999999</v>
      </c>
      <c r="B478">
        <v>12.01</v>
      </c>
      <c r="C478">
        <v>19.2</v>
      </c>
      <c r="D478" s="2">
        <v>457800</v>
      </c>
    </row>
    <row r="479" spans="1:4" x14ac:dyDescent="0.3">
      <c r="A479">
        <v>5.9260000000000002</v>
      </c>
      <c r="B479">
        <v>13.59</v>
      </c>
      <c r="C479">
        <v>19.2</v>
      </c>
      <c r="D479" s="2">
        <v>514500</v>
      </c>
    </row>
    <row r="480" spans="1:4" x14ac:dyDescent="0.3">
      <c r="A480">
        <v>5.67</v>
      </c>
      <c r="B480">
        <v>17.600000000000001</v>
      </c>
      <c r="C480">
        <v>19.2</v>
      </c>
      <c r="D480" s="2">
        <v>485100</v>
      </c>
    </row>
    <row r="481" spans="1:4" x14ac:dyDescent="0.3">
      <c r="A481">
        <v>5.39</v>
      </c>
      <c r="B481">
        <v>21.14</v>
      </c>
      <c r="C481">
        <v>19.2</v>
      </c>
      <c r="D481" s="2">
        <v>413700</v>
      </c>
    </row>
    <row r="482" spans="1:4" x14ac:dyDescent="0.3">
      <c r="A482">
        <v>5.7939999999999996</v>
      </c>
      <c r="B482">
        <v>14.1</v>
      </c>
      <c r="C482">
        <v>19.2</v>
      </c>
      <c r="D482" s="2">
        <v>384300</v>
      </c>
    </row>
    <row r="483" spans="1:4" x14ac:dyDescent="0.3">
      <c r="A483">
        <v>6.0190000000000001</v>
      </c>
      <c r="B483">
        <v>12.92</v>
      </c>
      <c r="C483">
        <v>19.2</v>
      </c>
      <c r="D483" s="2">
        <v>445200</v>
      </c>
    </row>
    <row r="484" spans="1:4" x14ac:dyDescent="0.3">
      <c r="A484">
        <v>5.569</v>
      </c>
      <c r="B484">
        <v>15.1</v>
      </c>
      <c r="C484">
        <v>19.2</v>
      </c>
      <c r="D484" s="2">
        <v>367500</v>
      </c>
    </row>
    <row r="485" spans="1:4" x14ac:dyDescent="0.3">
      <c r="A485">
        <v>6.0270000000000001</v>
      </c>
      <c r="B485">
        <v>14.33</v>
      </c>
      <c r="C485">
        <v>19.2</v>
      </c>
      <c r="D485" s="2">
        <v>352800</v>
      </c>
    </row>
    <row r="486" spans="1:4" x14ac:dyDescent="0.3">
      <c r="A486">
        <v>6.593</v>
      </c>
      <c r="B486">
        <v>9.67</v>
      </c>
      <c r="C486">
        <v>21</v>
      </c>
      <c r="D486" s="2">
        <v>470400</v>
      </c>
    </row>
    <row r="487" spans="1:4" x14ac:dyDescent="0.3">
      <c r="A487">
        <v>6.12</v>
      </c>
      <c r="B487">
        <v>9.08</v>
      </c>
      <c r="C487">
        <v>21</v>
      </c>
      <c r="D487" s="2">
        <v>432600</v>
      </c>
    </row>
    <row r="488" spans="1:4" x14ac:dyDescent="0.3">
      <c r="A488">
        <v>6.976</v>
      </c>
      <c r="B488">
        <v>5.64</v>
      </c>
      <c r="C488">
        <v>21</v>
      </c>
      <c r="D488" s="2">
        <v>501900</v>
      </c>
    </row>
    <row r="489" spans="1:4" x14ac:dyDescent="0.3">
      <c r="A489">
        <v>6.7939999999999996</v>
      </c>
      <c r="B489">
        <v>6.48</v>
      </c>
      <c r="C489">
        <v>21</v>
      </c>
      <c r="D489" s="2">
        <v>462000</v>
      </c>
    </row>
    <row r="490" spans="1:4" x14ac:dyDescent="0.3">
      <c r="A490">
        <v>6.03</v>
      </c>
      <c r="B490">
        <v>7.88</v>
      </c>
      <c r="C490">
        <v>21</v>
      </c>
      <c r="D490" s="2">
        <v>249900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A0BD-AFF9-4DA1-B1B9-E27FCFEAE8AF}">
  <dimension ref="B3:O13"/>
  <sheetViews>
    <sheetView topLeftCell="C1" zoomScale="170" zoomScaleNormal="170" workbookViewId="0">
      <selection activeCell="H11" sqref="H11"/>
    </sheetView>
  </sheetViews>
  <sheetFormatPr defaultRowHeight="14.4" x14ac:dyDescent="0.3"/>
  <sheetData>
    <row r="3" spans="2:15" x14ac:dyDescent="0.3">
      <c r="C3" t="s">
        <v>151</v>
      </c>
      <c r="I3" t="s">
        <v>166</v>
      </c>
    </row>
    <row r="5" spans="2:15" x14ac:dyDescent="0.3">
      <c r="C5" t="s">
        <v>152</v>
      </c>
      <c r="F5" t="s">
        <v>162</v>
      </c>
      <c r="G5" t="s">
        <v>163</v>
      </c>
      <c r="I5" t="s">
        <v>164</v>
      </c>
      <c r="K5" t="s">
        <v>167</v>
      </c>
      <c r="M5" t="s">
        <v>70</v>
      </c>
      <c r="N5" t="s">
        <v>168</v>
      </c>
      <c r="O5" t="s">
        <v>169</v>
      </c>
    </row>
    <row r="6" spans="2:15" x14ac:dyDescent="0.3">
      <c r="H6" t="s">
        <v>165</v>
      </c>
    </row>
    <row r="7" spans="2:15" x14ac:dyDescent="0.3">
      <c r="B7">
        <v>1</v>
      </c>
      <c r="C7" t="s">
        <v>153</v>
      </c>
      <c r="D7" t="s">
        <v>157</v>
      </c>
      <c r="M7" t="s">
        <v>170</v>
      </c>
    </row>
    <row r="8" spans="2:15" x14ac:dyDescent="0.3">
      <c r="B8">
        <v>2</v>
      </c>
      <c r="C8" t="s">
        <v>154</v>
      </c>
      <c r="D8" t="s">
        <v>158</v>
      </c>
      <c r="J8" t="s">
        <v>171</v>
      </c>
      <c r="K8">
        <v>1</v>
      </c>
      <c r="M8" t="s">
        <v>172</v>
      </c>
    </row>
    <row r="9" spans="2:15" x14ac:dyDescent="0.3">
      <c r="B9">
        <v>3</v>
      </c>
      <c r="C9" t="s">
        <v>155</v>
      </c>
      <c r="D9" t="s">
        <v>156</v>
      </c>
    </row>
    <row r="10" spans="2:15" x14ac:dyDescent="0.3">
      <c r="B10">
        <v>4</v>
      </c>
      <c r="C10" t="s">
        <v>86</v>
      </c>
      <c r="H10" t="s">
        <v>173</v>
      </c>
      <c r="I10" t="s">
        <v>174</v>
      </c>
      <c r="J10" t="s">
        <v>175</v>
      </c>
      <c r="L10" t="s">
        <v>176</v>
      </c>
    </row>
    <row r="11" spans="2:15" x14ac:dyDescent="0.3">
      <c r="B11">
        <v>5</v>
      </c>
      <c r="C11" t="s">
        <v>159</v>
      </c>
      <c r="H11" t="s">
        <v>177</v>
      </c>
      <c r="I11" t="s">
        <v>174</v>
      </c>
      <c r="J11" t="s">
        <v>178</v>
      </c>
      <c r="L11" t="s">
        <v>179</v>
      </c>
    </row>
    <row r="12" spans="2:15" x14ac:dyDescent="0.3">
      <c r="B12">
        <v>6</v>
      </c>
      <c r="C12" t="s">
        <v>160</v>
      </c>
    </row>
    <row r="13" spans="2:15" x14ac:dyDescent="0.3">
      <c r="B13">
        <v>7</v>
      </c>
      <c r="C13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82E5-78CC-4EDF-AB4C-5CBF7C6CA053}">
  <dimension ref="A3:G51"/>
  <sheetViews>
    <sheetView topLeftCell="A13" zoomScale="120" zoomScaleNormal="120" workbookViewId="0">
      <selection activeCell="D32" sqref="D32"/>
    </sheetView>
  </sheetViews>
  <sheetFormatPr defaultRowHeight="14.4" x14ac:dyDescent="0.3"/>
  <cols>
    <col min="2" max="2" width="8.88671875" style="2"/>
    <col min="3" max="3" width="16.109375" style="2" bestFit="1" customWidth="1"/>
    <col min="4" max="4" width="21.21875" bestFit="1" customWidth="1"/>
    <col min="5" max="5" width="17.88671875" bestFit="1" customWidth="1"/>
  </cols>
  <sheetData>
    <row r="3" spans="1:7" x14ac:dyDescent="0.3">
      <c r="A3" t="s">
        <v>5</v>
      </c>
    </row>
    <row r="6" spans="1:7" x14ac:dyDescent="0.3">
      <c r="B6" s="46" t="s">
        <v>6</v>
      </c>
      <c r="C6" s="46" t="s">
        <v>7</v>
      </c>
      <c r="D6" s="46" t="s">
        <v>1</v>
      </c>
      <c r="G6" t="s">
        <v>8</v>
      </c>
    </row>
    <row r="7" spans="1:7" x14ac:dyDescent="0.3">
      <c r="B7" s="2">
        <v>1</v>
      </c>
      <c r="C7" s="2">
        <v>6</v>
      </c>
      <c r="D7" s="5">
        <f>C7/10</f>
        <v>0.6</v>
      </c>
    </row>
    <row r="8" spans="1:7" x14ac:dyDescent="0.3">
      <c r="B8" s="2">
        <v>2</v>
      </c>
      <c r="C8" s="2">
        <v>5</v>
      </c>
      <c r="D8" s="5">
        <f t="shared" ref="D8:D16" si="0">C8/10</f>
        <v>0.5</v>
      </c>
    </row>
    <row r="9" spans="1:7" x14ac:dyDescent="0.3">
      <c r="B9" s="2">
        <v>3</v>
      </c>
      <c r="C9" s="2">
        <v>7</v>
      </c>
      <c r="D9" s="5">
        <f t="shared" si="0"/>
        <v>0.7</v>
      </c>
    </row>
    <row r="10" spans="1:7" x14ac:dyDescent="0.3">
      <c r="B10" s="2">
        <v>4</v>
      </c>
      <c r="C10" s="2">
        <v>6</v>
      </c>
      <c r="D10" s="5">
        <f t="shared" si="0"/>
        <v>0.6</v>
      </c>
    </row>
    <row r="11" spans="1:7" x14ac:dyDescent="0.3">
      <c r="B11" s="2">
        <v>5</v>
      </c>
      <c r="C11" s="2">
        <v>8</v>
      </c>
      <c r="D11" s="5">
        <f t="shared" si="0"/>
        <v>0.8</v>
      </c>
    </row>
    <row r="12" spans="1:7" x14ac:dyDescent="0.3">
      <c r="B12" s="2">
        <v>6</v>
      </c>
      <c r="C12" s="2">
        <v>6</v>
      </c>
      <c r="D12" s="5">
        <f t="shared" si="0"/>
        <v>0.6</v>
      </c>
    </row>
    <row r="13" spans="1:7" x14ac:dyDescent="0.3">
      <c r="B13" s="2">
        <v>7</v>
      </c>
      <c r="C13" s="2">
        <v>7</v>
      </c>
      <c r="D13" s="5">
        <f t="shared" si="0"/>
        <v>0.7</v>
      </c>
    </row>
    <row r="14" spans="1:7" x14ac:dyDescent="0.3">
      <c r="B14" s="2">
        <v>8</v>
      </c>
      <c r="C14" s="2">
        <v>6</v>
      </c>
      <c r="D14" s="5">
        <f t="shared" si="0"/>
        <v>0.6</v>
      </c>
    </row>
    <row r="15" spans="1:7" x14ac:dyDescent="0.3">
      <c r="B15" s="2">
        <v>9</v>
      </c>
      <c r="C15" s="2">
        <v>5</v>
      </c>
      <c r="D15" s="5">
        <f t="shared" si="0"/>
        <v>0.5</v>
      </c>
    </row>
    <row r="16" spans="1:7" x14ac:dyDescent="0.3">
      <c r="B16" s="2">
        <v>10</v>
      </c>
      <c r="C16" s="2">
        <v>6</v>
      </c>
      <c r="D16" s="5">
        <f t="shared" si="0"/>
        <v>0.6</v>
      </c>
    </row>
    <row r="17" spans="1:6" x14ac:dyDescent="0.3">
      <c r="C17" s="2">
        <f>SUM(C7:C16)</f>
        <v>62</v>
      </c>
    </row>
    <row r="18" spans="1:6" x14ac:dyDescent="0.3">
      <c r="B18" s="2" t="s">
        <v>1</v>
      </c>
      <c r="C18" s="2">
        <f>C17/10</f>
        <v>6.2</v>
      </c>
    </row>
    <row r="21" spans="1:6" x14ac:dyDescent="0.3">
      <c r="A21" s="6" t="s">
        <v>9</v>
      </c>
      <c r="C21" s="6"/>
    </row>
    <row r="23" spans="1:6" x14ac:dyDescent="0.3">
      <c r="A23" s="6" t="s">
        <v>10</v>
      </c>
    </row>
    <row r="24" spans="1:6" x14ac:dyDescent="0.3">
      <c r="A24" t="s">
        <v>11</v>
      </c>
    </row>
    <row r="27" spans="1:6" x14ac:dyDescent="0.3">
      <c r="C27" s="2" t="s">
        <v>12</v>
      </c>
      <c r="D27" s="2" t="s">
        <v>13</v>
      </c>
      <c r="E27" s="2" t="s">
        <v>14</v>
      </c>
      <c r="F27" s="2" t="s">
        <v>15</v>
      </c>
    </row>
    <row r="28" spans="1:6" x14ac:dyDescent="0.3">
      <c r="C28" s="2">
        <v>1</v>
      </c>
      <c r="D28" s="2">
        <v>88</v>
      </c>
      <c r="E28" s="2">
        <v>1000</v>
      </c>
      <c r="F28" s="7">
        <f>D28/E28</f>
        <v>8.7999999999999995E-2</v>
      </c>
    </row>
    <row r="29" spans="1:6" x14ac:dyDescent="0.3">
      <c r="C29" s="2">
        <v>2</v>
      </c>
      <c r="D29" s="2">
        <v>121</v>
      </c>
      <c r="E29" s="2">
        <v>1200</v>
      </c>
      <c r="F29" s="7">
        <f t="shared" ref="F29:F32" si="1">D29/E29</f>
        <v>0.10083333333333333</v>
      </c>
    </row>
    <row r="30" spans="1:6" x14ac:dyDescent="0.3">
      <c r="C30" s="2">
        <v>3</v>
      </c>
      <c r="D30" s="2">
        <v>65</v>
      </c>
      <c r="E30" s="2">
        <v>900</v>
      </c>
      <c r="F30" s="7">
        <f t="shared" si="1"/>
        <v>7.2222222222222215E-2</v>
      </c>
    </row>
    <row r="31" spans="1:6" x14ac:dyDescent="0.3">
      <c r="C31" s="2">
        <v>4</v>
      </c>
      <c r="D31" s="2">
        <v>75</v>
      </c>
      <c r="E31" s="2">
        <v>800</v>
      </c>
      <c r="F31" s="7">
        <f t="shared" si="1"/>
        <v>9.375E-2</v>
      </c>
    </row>
    <row r="32" spans="1:6" x14ac:dyDescent="0.3">
      <c r="C32" s="2">
        <v>5</v>
      </c>
      <c r="D32" s="2">
        <v>93</v>
      </c>
      <c r="E32" s="2">
        <v>1100</v>
      </c>
      <c r="F32" s="7">
        <f t="shared" si="1"/>
        <v>8.4545454545454549E-2</v>
      </c>
    </row>
    <row r="35" spans="1:6" x14ac:dyDescent="0.3">
      <c r="A35" t="s">
        <v>16</v>
      </c>
    </row>
    <row r="38" spans="1:6" x14ac:dyDescent="0.3">
      <c r="C38" s="2" t="s">
        <v>17</v>
      </c>
      <c r="D38" s="2" t="s">
        <v>18</v>
      </c>
      <c r="E38" s="2" t="s">
        <v>19</v>
      </c>
      <c r="F38" s="2" t="s">
        <v>3</v>
      </c>
    </row>
    <row r="39" spans="1:6" x14ac:dyDescent="0.3">
      <c r="C39" s="2">
        <v>1</v>
      </c>
      <c r="D39" s="2">
        <v>100</v>
      </c>
      <c r="E39" s="2">
        <v>10</v>
      </c>
      <c r="F39" s="5">
        <f>D39/E39</f>
        <v>10</v>
      </c>
    </row>
    <row r="40" spans="1:6" x14ac:dyDescent="0.3">
      <c r="C40" s="2">
        <v>2</v>
      </c>
      <c r="D40" s="2">
        <v>125</v>
      </c>
      <c r="E40" s="2">
        <v>15</v>
      </c>
      <c r="F40" s="8">
        <f t="shared" ref="F40:F44" si="2">D40/E40</f>
        <v>8.3333333333333339</v>
      </c>
    </row>
    <row r="41" spans="1:6" x14ac:dyDescent="0.3">
      <c r="C41" s="2">
        <v>3</v>
      </c>
      <c r="D41" s="2">
        <v>185</v>
      </c>
      <c r="E41" s="2">
        <v>20</v>
      </c>
      <c r="F41" s="5">
        <f t="shared" si="2"/>
        <v>9.25</v>
      </c>
    </row>
    <row r="42" spans="1:6" x14ac:dyDescent="0.3">
      <c r="C42" s="2">
        <v>4</v>
      </c>
      <c r="D42" s="2">
        <v>229</v>
      </c>
      <c r="E42" s="2">
        <v>25</v>
      </c>
      <c r="F42" s="5">
        <f t="shared" si="2"/>
        <v>9.16</v>
      </c>
    </row>
    <row r="43" spans="1:6" x14ac:dyDescent="0.3">
      <c r="C43" s="2">
        <v>5</v>
      </c>
      <c r="D43" s="2">
        <v>287</v>
      </c>
      <c r="E43" s="2">
        <v>30</v>
      </c>
      <c r="F43" s="5">
        <f t="shared" si="2"/>
        <v>9.5666666666666664</v>
      </c>
    </row>
    <row r="44" spans="1:6" x14ac:dyDescent="0.3">
      <c r="D44" s="2">
        <f>SUM(D39:D43)</f>
        <v>926</v>
      </c>
      <c r="E44" s="2">
        <f>SUM(E39:E43)</f>
        <v>100</v>
      </c>
      <c r="F44" s="5">
        <f t="shared" si="2"/>
        <v>9.26</v>
      </c>
    </row>
    <row r="46" spans="1:6" x14ac:dyDescent="0.3">
      <c r="D46" t="s">
        <v>3</v>
      </c>
      <c r="E46">
        <f>D44/E44</f>
        <v>9.26</v>
      </c>
    </row>
    <row r="48" spans="1:6" x14ac:dyDescent="0.3">
      <c r="A48" t="s">
        <v>20</v>
      </c>
    </row>
    <row r="51" spans="1:1" x14ac:dyDescent="0.3">
      <c r="A51" t="s">
        <v>21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0175-17E0-44DB-826A-BE257F0379FD}">
  <dimension ref="A1:I20"/>
  <sheetViews>
    <sheetView workbookViewId="0">
      <selection activeCell="E10" sqref="E10"/>
    </sheetView>
  </sheetViews>
  <sheetFormatPr defaultRowHeight="14.4" x14ac:dyDescent="0.3"/>
  <sheetData>
    <row r="1" spans="1:9" x14ac:dyDescent="0.3">
      <c r="A1" t="s">
        <v>22</v>
      </c>
    </row>
    <row r="2" spans="1:9" ht="15" thickBot="1" x14ac:dyDescent="0.35"/>
    <row r="3" spans="1:9" x14ac:dyDescent="0.3">
      <c r="A3" s="51" t="s">
        <v>23</v>
      </c>
      <c r="B3" s="51"/>
    </row>
    <row r="4" spans="1:9" x14ac:dyDescent="0.3">
      <c r="A4" s="48" t="s">
        <v>24</v>
      </c>
      <c r="B4" s="48">
        <v>0.84712898740290676</v>
      </c>
    </row>
    <row r="5" spans="1:9" x14ac:dyDescent="0.3">
      <c r="A5" s="48" t="s">
        <v>25</v>
      </c>
      <c r="B5" s="48">
        <v>0.71762752129827412</v>
      </c>
    </row>
    <row r="6" spans="1:9" x14ac:dyDescent="0.3">
      <c r="A6" s="48" t="s">
        <v>26</v>
      </c>
      <c r="B6" s="48">
        <v>0.71588088740939748</v>
      </c>
    </row>
    <row r="7" spans="1:9" x14ac:dyDescent="0.3">
      <c r="A7" s="48" t="s">
        <v>27</v>
      </c>
      <c r="B7" s="48">
        <v>88131.038431801528</v>
      </c>
    </row>
    <row r="8" spans="1:9" ht="15" thickBot="1" x14ac:dyDescent="0.35">
      <c r="A8" s="49" t="s">
        <v>28</v>
      </c>
      <c r="B8" s="49">
        <v>489</v>
      </c>
    </row>
    <row r="10" spans="1:9" ht="15" thickBot="1" x14ac:dyDescent="0.35">
      <c r="A10" t="s">
        <v>29</v>
      </c>
    </row>
    <row r="11" spans="1:9" x14ac:dyDescent="0.3">
      <c r="A11" s="50"/>
      <c r="B11" s="50" t="s">
        <v>30</v>
      </c>
      <c r="C11" s="50" t="s">
        <v>31</v>
      </c>
      <c r="D11" s="50" t="s">
        <v>32</v>
      </c>
      <c r="E11" s="50" t="s">
        <v>33</v>
      </c>
      <c r="F11" s="50" t="s">
        <v>34</v>
      </c>
    </row>
    <row r="12" spans="1:9" x14ac:dyDescent="0.3">
      <c r="A12" s="48" t="s">
        <v>35</v>
      </c>
      <c r="B12" s="48">
        <v>3</v>
      </c>
      <c r="C12" s="48">
        <v>9573621049651.6895</v>
      </c>
      <c r="D12" s="48">
        <v>3191207016550.563</v>
      </c>
      <c r="E12" s="48">
        <v>410.86316134620245</v>
      </c>
      <c r="F12" s="48">
        <v>9.9587631366595457E-133</v>
      </c>
    </row>
    <row r="13" spans="1:9" x14ac:dyDescent="0.3">
      <c r="A13" s="48" t="s">
        <v>36</v>
      </c>
      <c r="B13" s="48">
        <v>485</v>
      </c>
      <c r="C13" s="48">
        <v>3767033768507.8237</v>
      </c>
      <c r="D13" s="48">
        <v>7767079935.0676775</v>
      </c>
      <c r="E13" s="48"/>
      <c r="F13" s="48"/>
    </row>
    <row r="14" spans="1:9" ht="15" thickBot="1" x14ac:dyDescent="0.35">
      <c r="A14" s="49" t="s">
        <v>37</v>
      </c>
      <c r="B14" s="49">
        <v>488</v>
      </c>
      <c r="C14" s="49">
        <v>13340654818159.514</v>
      </c>
      <c r="D14" s="49"/>
      <c r="E14" s="49"/>
      <c r="F14" s="49"/>
    </row>
    <row r="15" spans="1:9" ht="15" thickBot="1" x14ac:dyDescent="0.35"/>
    <row r="16" spans="1:9" x14ac:dyDescent="0.3">
      <c r="A16" s="50"/>
      <c r="B16" s="50" t="s">
        <v>38</v>
      </c>
      <c r="C16" s="50" t="s">
        <v>27</v>
      </c>
      <c r="D16" s="50" t="s">
        <v>39</v>
      </c>
      <c r="E16" s="50" t="s">
        <v>40</v>
      </c>
      <c r="F16" s="50" t="s">
        <v>41</v>
      </c>
      <c r="G16" s="50" t="s">
        <v>42</v>
      </c>
      <c r="H16" s="50" t="s">
        <v>43</v>
      </c>
      <c r="I16" s="50" t="s">
        <v>44</v>
      </c>
    </row>
    <row r="17" spans="1:9" x14ac:dyDescent="0.3">
      <c r="A17" s="48" t="s">
        <v>45</v>
      </c>
      <c r="B17" s="48">
        <v>415464.39651673456</v>
      </c>
      <c r="C17" s="48">
        <v>68845.712844084846</v>
      </c>
      <c r="D17" s="48">
        <v>6.0347170412431987</v>
      </c>
      <c r="E17" s="48">
        <v>3.1653524752002426E-9</v>
      </c>
      <c r="F17" s="48">
        <v>280191.70749898464</v>
      </c>
      <c r="G17" s="48">
        <v>550737.08553448447</v>
      </c>
      <c r="H17" s="48">
        <v>280191.70749898464</v>
      </c>
      <c r="I17" s="48">
        <v>550737.08553448447</v>
      </c>
    </row>
    <row r="18" spans="1:9" x14ac:dyDescent="0.3">
      <c r="A18" s="48" t="s">
        <v>1</v>
      </c>
      <c r="B18" s="48">
        <v>86565.236132985738</v>
      </c>
      <c r="C18" s="48">
        <v>7888.8948208550146</v>
      </c>
      <c r="D18" s="48">
        <v>10.973049850296219</v>
      </c>
      <c r="E18" s="48">
        <v>3.5624248301446456E-25</v>
      </c>
      <c r="F18" s="48">
        <v>71064.604768879712</v>
      </c>
      <c r="G18" s="48">
        <v>102065.86749709176</v>
      </c>
      <c r="H18" s="48">
        <v>71064.604768879712</v>
      </c>
      <c r="I18" s="48">
        <v>102065.86749709176</v>
      </c>
    </row>
    <row r="19" spans="1:9" x14ac:dyDescent="0.3">
      <c r="A19" s="48" t="s">
        <v>2</v>
      </c>
      <c r="B19" s="48">
        <v>-10849.340383805296</v>
      </c>
      <c r="C19" s="48">
        <v>732.13796894271923</v>
      </c>
      <c r="D19" s="48">
        <v>-14.818710194026453</v>
      </c>
      <c r="E19" s="48">
        <v>3.0006091681744504E-41</v>
      </c>
      <c r="F19" s="48">
        <v>-12287.894328553721</v>
      </c>
      <c r="G19" s="48">
        <v>-9410.786439056872</v>
      </c>
      <c r="H19" s="48">
        <v>-12287.894328553721</v>
      </c>
      <c r="I19" s="48">
        <v>-9410.786439056872</v>
      </c>
    </row>
    <row r="20" spans="1:9" ht="15" thickBot="1" x14ac:dyDescent="0.35">
      <c r="A20" s="49" t="s">
        <v>3</v>
      </c>
      <c r="B20" s="49">
        <v>-19492.115635147358</v>
      </c>
      <c r="C20" s="49">
        <v>2039.0471382907247</v>
      </c>
      <c r="D20" s="49">
        <v>-9.5594237470581707</v>
      </c>
      <c r="E20" s="49">
        <v>5.9449593843979549E-20</v>
      </c>
      <c r="F20" s="49">
        <v>-23498.572653832045</v>
      </c>
      <c r="G20" s="49">
        <v>-15485.658616462673</v>
      </c>
      <c r="H20" s="49">
        <v>-23498.572653832045</v>
      </c>
      <c r="I20" s="49">
        <v>-15485.658616462673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4A2C-F218-428A-8922-DF05234C40F2}">
  <dimension ref="A1:P490"/>
  <sheetViews>
    <sheetView workbookViewId="0">
      <selection activeCell="I7" sqref="I7"/>
    </sheetView>
  </sheetViews>
  <sheetFormatPr defaultRowHeight="14.4" x14ac:dyDescent="0.3"/>
  <cols>
    <col min="8" max="8" width="17.88671875" customWidth="1"/>
    <col min="10" max="10" width="14.109375" customWidth="1"/>
    <col min="11" max="11" width="28.88671875" customWidth="1"/>
    <col min="13" max="13" width="11.21875" customWidth="1"/>
  </cols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H1" t="s">
        <v>22</v>
      </c>
    </row>
    <row r="2" spans="1:16" ht="15" thickBot="1" x14ac:dyDescent="0.35">
      <c r="A2">
        <v>6.5750000000000002</v>
      </c>
      <c r="B2">
        <v>4.9800000000000004</v>
      </c>
      <c r="C2">
        <v>15.3</v>
      </c>
      <c r="D2">
        <v>504000</v>
      </c>
    </row>
    <row r="3" spans="1:16" x14ac:dyDescent="0.3">
      <c r="A3">
        <v>6.4210000000000003</v>
      </c>
      <c r="B3">
        <v>9.14</v>
      </c>
      <c r="C3">
        <v>17.8</v>
      </c>
      <c r="D3">
        <v>453600</v>
      </c>
      <c r="H3" s="9" t="s">
        <v>23</v>
      </c>
      <c r="I3" s="9"/>
    </row>
    <row r="4" spans="1:16" x14ac:dyDescent="0.3">
      <c r="A4">
        <v>7.1849999999999996</v>
      </c>
      <c r="B4">
        <v>4.03</v>
      </c>
      <c r="C4">
        <v>17.8</v>
      </c>
      <c r="D4">
        <v>728700</v>
      </c>
      <c r="H4" t="s">
        <v>24</v>
      </c>
      <c r="I4">
        <v>0.84712898740290676</v>
      </c>
    </row>
    <row r="5" spans="1:16" x14ac:dyDescent="0.3">
      <c r="A5">
        <v>6.9980000000000002</v>
      </c>
      <c r="B5">
        <v>2.94</v>
      </c>
      <c r="C5">
        <v>18.7</v>
      </c>
      <c r="D5">
        <v>701400</v>
      </c>
      <c r="H5" t="s">
        <v>25</v>
      </c>
      <c r="I5">
        <v>0.71762752129827412</v>
      </c>
      <c r="J5">
        <f>SQRT(I5)</f>
        <v>0.84712898740290676</v>
      </c>
    </row>
    <row r="6" spans="1:16" x14ac:dyDescent="0.3">
      <c r="A6">
        <v>7.1470000000000002</v>
      </c>
      <c r="B6">
        <v>5.33</v>
      </c>
      <c r="C6">
        <v>18.7</v>
      </c>
      <c r="D6">
        <v>760200</v>
      </c>
      <c r="H6" t="s">
        <v>26</v>
      </c>
      <c r="I6">
        <v>0.71588088740939748</v>
      </c>
      <c r="L6" t="s">
        <v>147</v>
      </c>
      <c r="M6" t="s">
        <v>148</v>
      </c>
    </row>
    <row r="7" spans="1:16" x14ac:dyDescent="0.3">
      <c r="A7">
        <v>6.43</v>
      </c>
      <c r="B7">
        <v>5.21</v>
      </c>
      <c r="C7">
        <v>18.7</v>
      </c>
      <c r="D7">
        <v>602700</v>
      </c>
      <c r="H7" t="s">
        <v>27</v>
      </c>
      <c r="I7" s="10">
        <v>88131.038431801528</v>
      </c>
    </row>
    <row r="8" spans="1:16" ht="15" thickBot="1" x14ac:dyDescent="0.35">
      <c r="A8">
        <v>6.0119999999999996</v>
      </c>
      <c r="B8">
        <v>12.43</v>
      </c>
      <c r="C8">
        <v>15.2</v>
      </c>
      <c r="D8">
        <v>480900</v>
      </c>
      <c r="H8" s="11" t="s">
        <v>28</v>
      </c>
      <c r="I8" s="11">
        <v>489</v>
      </c>
    </row>
    <row r="9" spans="1:16" x14ac:dyDescent="0.3">
      <c r="A9">
        <v>6.1719999999999997</v>
      </c>
      <c r="B9">
        <v>19.149999999999999</v>
      </c>
      <c r="C9">
        <v>15.2</v>
      </c>
      <c r="D9">
        <v>569100</v>
      </c>
      <c r="K9">
        <f>SQRT(K13)</f>
        <v>88131.038431801528</v>
      </c>
    </row>
    <row r="10" spans="1:16" ht="15" thickBot="1" x14ac:dyDescent="0.35">
      <c r="A10">
        <v>5.6310000000000002</v>
      </c>
      <c r="B10">
        <v>29.93</v>
      </c>
      <c r="C10">
        <v>15.2</v>
      </c>
      <c r="D10">
        <v>346500</v>
      </c>
      <c r="H10" t="s">
        <v>29</v>
      </c>
    </row>
    <row r="11" spans="1:16" x14ac:dyDescent="0.3">
      <c r="A11">
        <v>6.0039999999999996</v>
      </c>
      <c r="B11">
        <v>17.100000000000001</v>
      </c>
      <c r="C11">
        <v>15.2</v>
      </c>
      <c r="D11">
        <v>396900</v>
      </c>
      <c r="H11" s="12"/>
      <c r="I11" s="12" t="s">
        <v>30</v>
      </c>
      <c r="J11" s="12" t="s">
        <v>31</v>
      </c>
      <c r="K11" s="12" t="s">
        <v>32</v>
      </c>
      <c r="L11" s="12" t="s">
        <v>33</v>
      </c>
      <c r="M11" s="12" t="s">
        <v>34</v>
      </c>
    </row>
    <row r="12" spans="1:16" x14ac:dyDescent="0.3">
      <c r="A12">
        <v>6.3769999999999998</v>
      </c>
      <c r="B12">
        <v>20.45</v>
      </c>
      <c r="C12">
        <v>15.2</v>
      </c>
      <c r="D12">
        <v>315000</v>
      </c>
      <c r="H12" t="s">
        <v>35</v>
      </c>
      <c r="I12">
        <v>3</v>
      </c>
      <c r="J12">
        <v>9573621049651.6895</v>
      </c>
      <c r="K12">
        <v>3191207016550.563</v>
      </c>
      <c r="L12">
        <v>410.86316134620245</v>
      </c>
      <c r="M12">
        <v>9.9587631366595457E-133</v>
      </c>
    </row>
    <row r="13" spans="1:16" x14ac:dyDescent="0.3">
      <c r="A13">
        <v>6.0090000000000003</v>
      </c>
      <c r="B13">
        <v>13.27</v>
      </c>
      <c r="C13">
        <v>15.2</v>
      </c>
      <c r="D13">
        <v>396900</v>
      </c>
      <c r="H13" t="s">
        <v>36</v>
      </c>
      <c r="I13">
        <v>485</v>
      </c>
      <c r="J13">
        <v>3767033768507.8237</v>
      </c>
      <c r="K13">
        <v>7767079935.0676775</v>
      </c>
    </row>
    <row r="14" spans="1:16" ht="15" thickBot="1" x14ac:dyDescent="0.35">
      <c r="A14">
        <v>5.8890000000000002</v>
      </c>
      <c r="B14">
        <v>15.71</v>
      </c>
      <c r="C14">
        <v>15.2</v>
      </c>
      <c r="D14">
        <v>455700</v>
      </c>
      <c r="H14" s="11" t="s">
        <v>37</v>
      </c>
      <c r="I14" s="11">
        <v>488</v>
      </c>
      <c r="J14" s="11">
        <v>13340654818159.514</v>
      </c>
      <c r="K14" s="11"/>
      <c r="L14" s="11"/>
      <c r="M14" s="11"/>
    </row>
    <row r="15" spans="1:16" ht="15" thickBot="1" x14ac:dyDescent="0.35">
      <c r="A15">
        <v>5.9489999999999998</v>
      </c>
      <c r="B15">
        <v>8.26</v>
      </c>
      <c r="C15">
        <v>21</v>
      </c>
      <c r="D15">
        <v>428400</v>
      </c>
    </row>
    <row r="16" spans="1:16" x14ac:dyDescent="0.3">
      <c r="A16">
        <v>6.0960000000000001</v>
      </c>
      <c r="B16">
        <v>10.26</v>
      </c>
      <c r="C16">
        <v>21</v>
      </c>
      <c r="D16">
        <v>382200</v>
      </c>
      <c r="H16" s="12"/>
      <c r="I16" s="12" t="s">
        <v>38</v>
      </c>
      <c r="J16" s="12" t="s">
        <v>27</v>
      </c>
      <c r="K16" s="12" t="s">
        <v>39</v>
      </c>
      <c r="L16" s="12" t="s">
        <v>40</v>
      </c>
      <c r="M16" s="12" t="s">
        <v>41</v>
      </c>
      <c r="N16" s="12" t="s">
        <v>42</v>
      </c>
      <c r="O16" s="12" t="s">
        <v>43</v>
      </c>
      <c r="P16" s="12" t="s">
        <v>44</v>
      </c>
    </row>
    <row r="17" spans="1:16" x14ac:dyDescent="0.3">
      <c r="A17">
        <v>5.8339999999999996</v>
      </c>
      <c r="B17">
        <v>8.4700000000000006</v>
      </c>
      <c r="C17">
        <v>21</v>
      </c>
      <c r="D17">
        <v>417900</v>
      </c>
      <c r="H17" t="s">
        <v>45</v>
      </c>
      <c r="I17">
        <v>415464.39651673456</v>
      </c>
      <c r="J17">
        <v>68845.712844084846</v>
      </c>
      <c r="K17">
        <v>6.0347170412431987</v>
      </c>
      <c r="L17">
        <v>3.1653524752002426E-9</v>
      </c>
      <c r="M17">
        <v>280191.70749898464</v>
      </c>
      <c r="N17">
        <v>550737.08553448447</v>
      </c>
      <c r="O17">
        <v>280191.70749898464</v>
      </c>
      <c r="P17">
        <v>550737.08553448447</v>
      </c>
    </row>
    <row r="18" spans="1:16" x14ac:dyDescent="0.3">
      <c r="A18">
        <v>5.9349999999999996</v>
      </c>
      <c r="B18">
        <v>6.58</v>
      </c>
      <c r="C18">
        <v>21</v>
      </c>
      <c r="D18">
        <v>485100</v>
      </c>
      <c r="H18" t="s">
        <v>1</v>
      </c>
      <c r="I18" s="13">
        <v>86565.236132985738</v>
      </c>
      <c r="J18">
        <v>7888.8948208550146</v>
      </c>
      <c r="K18">
        <v>10.973049850296219</v>
      </c>
      <c r="L18" s="14">
        <v>3.5624248301446456E-25</v>
      </c>
      <c r="M18">
        <v>71064.604768879712</v>
      </c>
      <c r="N18">
        <v>102065.86749709176</v>
      </c>
      <c r="O18">
        <v>71064.604768879712</v>
      </c>
      <c r="P18">
        <v>102065.86749709176</v>
      </c>
    </row>
    <row r="19" spans="1:16" x14ac:dyDescent="0.3">
      <c r="A19">
        <v>5.99</v>
      </c>
      <c r="B19">
        <v>14.67</v>
      </c>
      <c r="C19">
        <v>21</v>
      </c>
      <c r="D19">
        <v>367500</v>
      </c>
      <c r="H19" t="s">
        <v>2</v>
      </c>
      <c r="I19" s="13">
        <v>-10849.340383805296</v>
      </c>
      <c r="J19">
        <v>732.13796894271923</v>
      </c>
      <c r="K19">
        <v>-14.818710194026453</v>
      </c>
      <c r="L19" s="14">
        <v>3.0006091681744504E-41</v>
      </c>
      <c r="M19">
        <v>-12287.894328553721</v>
      </c>
      <c r="N19">
        <v>-9410.786439056872</v>
      </c>
      <c r="O19">
        <v>-12287.894328553721</v>
      </c>
      <c r="P19">
        <v>-9410.786439056872</v>
      </c>
    </row>
    <row r="20" spans="1:16" ht="15" thickBot="1" x14ac:dyDescent="0.35">
      <c r="A20">
        <v>5.4560000000000004</v>
      </c>
      <c r="B20">
        <v>11.69</v>
      </c>
      <c r="C20">
        <v>21</v>
      </c>
      <c r="D20">
        <v>424200</v>
      </c>
      <c r="H20" s="11" t="s">
        <v>3</v>
      </c>
      <c r="I20" s="15">
        <v>-19492.115635147358</v>
      </c>
      <c r="J20" s="11">
        <v>2039.0471382907247</v>
      </c>
      <c r="K20" s="11">
        <v>-9.5594237470581707</v>
      </c>
      <c r="L20" s="16">
        <v>5.9449593843979549E-20</v>
      </c>
      <c r="M20" s="11">
        <v>-23498.572653832045</v>
      </c>
      <c r="N20" s="11">
        <v>-15485.658616462673</v>
      </c>
      <c r="O20" s="11">
        <v>-23498.572653832045</v>
      </c>
      <c r="P20" s="11">
        <v>-15485.658616462673</v>
      </c>
    </row>
    <row r="21" spans="1:16" x14ac:dyDescent="0.3">
      <c r="A21">
        <v>5.7270000000000003</v>
      </c>
      <c r="B21">
        <v>11.28</v>
      </c>
      <c r="C21">
        <v>21</v>
      </c>
      <c r="D21">
        <v>382200</v>
      </c>
    </row>
    <row r="22" spans="1:16" x14ac:dyDescent="0.3">
      <c r="A22">
        <v>5.57</v>
      </c>
      <c r="B22">
        <v>21.02</v>
      </c>
      <c r="C22">
        <v>21</v>
      </c>
      <c r="D22">
        <v>285600</v>
      </c>
    </row>
    <row r="23" spans="1:16" x14ac:dyDescent="0.3">
      <c r="A23">
        <v>5.9649999999999999</v>
      </c>
      <c r="B23">
        <v>13.83</v>
      </c>
      <c r="C23">
        <v>21</v>
      </c>
      <c r="D23">
        <v>411600</v>
      </c>
    </row>
    <row r="24" spans="1:16" x14ac:dyDescent="0.3">
      <c r="A24">
        <v>6.1420000000000003</v>
      </c>
      <c r="B24">
        <v>18.72</v>
      </c>
      <c r="C24">
        <v>21</v>
      </c>
      <c r="D24">
        <v>319200</v>
      </c>
    </row>
    <row r="25" spans="1:16" x14ac:dyDescent="0.3">
      <c r="A25">
        <v>5.8129999999999997</v>
      </c>
      <c r="B25">
        <v>19.88</v>
      </c>
      <c r="C25">
        <v>21</v>
      </c>
      <c r="D25">
        <v>304500</v>
      </c>
    </row>
    <row r="26" spans="1:16" x14ac:dyDescent="0.3">
      <c r="A26">
        <v>5.9240000000000004</v>
      </c>
      <c r="B26">
        <v>16.3</v>
      </c>
      <c r="C26">
        <v>21</v>
      </c>
      <c r="D26">
        <v>327600</v>
      </c>
      <c r="H26" t="s">
        <v>46</v>
      </c>
      <c r="I26" t="s">
        <v>47</v>
      </c>
    </row>
    <row r="27" spans="1:16" x14ac:dyDescent="0.3">
      <c r="A27">
        <v>5.5990000000000002</v>
      </c>
      <c r="B27">
        <v>16.510000000000002</v>
      </c>
      <c r="C27">
        <v>21</v>
      </c>
      <c r="D27">
        <v>291900</v>
      </c>
      <c r="H27" t="s">
        <v>48</v>
      </c>
      <c r="I27" t="s">
        <v>49</v>
      </c>
    </row>
    <row r="28" spans="1:16" x14ac:dyDescent="0.3">
      <c r="A28">
        <v>5.8129999999999997</v>
      </c>
      <c r="B28">
        <v>14.81</v>
      </c>
      <c r="C28">
        <v>21</v>
      </c>
      <c r="D28">
        <v>348600</v>
      </c>
      <c r="H28" t="s">
        <v>50</v>
      </c>
      <c r="I28" t="s">
        <v>38</v>
      </c>
    </row>
    <row r="29" spans="1:16" x14ac:dyDescent="0.3">
      <c r="A29">
        <v>6.0469999999999997</v>
      </c>
      <c r="B29">
        <v>17.28</v>
      </c>
      <c r="C29">
        <v>21</v>
      </c>
      <c r="D29">
        <v>310800</v>
      </c>
      <c r="H29" t="s">
        <v>51</v>
      </c>
      <c r="I29" t="s">
        <v>52</v>
      </c>
    </row>
    <row r="30" spans="1:16" x14ac:dyDescent="0.3">
      <c r="A30">
        <v>6.4950000000000001</v>
      </c>
      <c r="B30">
        <v>12.8</v>
      </c>
      <c r="C30">
        <v>21</v>
      </c>
      <c r="D30">
        <v>386400</v>
      </c>
    </row>
    <row r="31" spans="1:16" x14ac:dyDescent="0.3">
      <c r="A31">
        <v>6.6740000000000004</v>
      </c>
      <c r="B31">
        <v>11.98</v>
      </c>
      <c r="C31">
        <v>21</v>
      </c>
      <c r="D31">
        <v>441000</v>
      </c>
    </row>
    <row r="32" spans="1:16" x14ac:dyDescent="0.3">
      <c r="A32">
        <v>5.7130000000000001</v>
      </c>
      <c r="B32">
        <v>22.6</v>
      </c>
      <c r="C32">
        <v>21</v>
      </c>
      <c r="D32">
        <v>266700</v>
      </c>
      <c r="H32" t="s">
        <v>53</v>
      </c>
      <c r="I32" t="s">
        <v>54</v>
      </c>
    </row>
    <row r="33" spans="1:8" x14ac:dyDescent="0.3">
      <c r="A33">
        <v>6.0720000000000001</v>
      </c>
      <c r="B33">
        <v>13.04</v>
      </c>
      <c r="C33">
        <v>21</v>
      </c>
      <c r="D33">
        <v>304500</v>
      </c>
      <c r="H33" t="s">
        <v>55</v>
      </c>
    </row>
    <row r="34" spans="1:8" x14ac:dyDescent="0.3">
      <c r="A34">
        <v>5.95</v>
      </c>
      <c r="B34">
        <v>27.71</v>
      </c>
      <c r="C34">
        <v>21</v>
      </c>
      <c r="D34">
        <v>277200</v>
      </c>
    </row>
    <row r="35" spans="1:8" x14ac:dyDescent="0.3">
      <c r="A35">
        <v>5.7009999999999996</v>
      </c>
      <c r="B35">
        <v>18.350000000000001</v>
      </c>
      <c r="C35">
        <v>21</v>
      </c>
      <c r="D35">
        <v>275100</v>
      </c>
    </row>
    <row r="36" spans="1:8" x14ac:dyDescent="0.3">
      <c r="A36">
        <v>6.0960000000000001</v>
      </c>
      <c r="B36">
        <v>20.34</v>
      </c>
      <c r="C36">
        <v>21</v>
      </c>
      <c r="D36">
        <v>283500</v>
      </c>
    </row>
    <row r="37" spans="1:8" x14ac:dyDescent="0.3">
      <c r="A37">
        <v>5.9329999999999998</v>
      </c>
      <c r="B37">
        <v>9.68</v>
      </c>
      <c r="C37">
        <v>19.2</v>
      </c>
      <c r="D37">
        <v>396900</v>
      </c>
    </row>
    <row r="38" spans="1:8" x14ac:dyDescent="0.3">
      <c r="A38">
        <v>5.8410000000000002</v>
      </c>
      <c r="B38">
        <v>11.41</v>
      </c>
      <c r="C38">
        <v>19.2</v>
      </c>
      <c r="D38">
        <v>420000</v>
      </c>
    </row>
    <row r="39" spans="1:8" x14ac:dyDescent="0.3">
      <c r="A39">
        <v>5.85</v>
      </c>
      <c r="B39">
        <v>8.77</v>
      </c>
      <c r="C39">
        <v>19.2</v>
      </c>
      <c r="D39">
        <v>441000</v>
      </c>
    </row>
    <row r="40" spans="1:8" x14ac:dyDescent="0.3">
      <c r="A40">
        <v>5.9660000000000002</v>
      </c>
      <c r="B40">
        <v>10.130000000000001</v>
      </c>
      <c r="C40">
        <v>19.2</v>
      </c>
      <c r="D40">
        <v>518700</v>
      </c>
    </row>
    <row r="41" spans="1:8" x14ac:dyDescent="0.3">
      <c r="A41">
        <v>6.5949999999999998</v>
      </c>
      <c r="B41">
        <v>4.32</v>
      </c>
      <c r="C41">
        <v>18.3</v>
      </c>
      <c r="D41">
        <v>646800</v>
      </c>
    </row>
    <row r="42" spans="1:8" x14ac:dyDescent="0.3">
      <c r="A42">
        <v>7.024</v>
      </c>
      <c r="B42">
        <v>1.98</v>
      </c>
      <c r="C42">
        <v>18.3</v>
      </c>
      <c r="D42">
        <v>732900</v>
      </c>
    </row>
    <row r="43" spans="1:8" x14ac:dyDescent="0.3">
      <c r="A43">
        <v>6.77</v>
      </c>
      <c r="B43">
        <v>4.84</v>
      </c>
      <c r="C43">
        <v>17.899999999999999</v>
      </c>
      <c r="D43">
        <v>558600</v>
      </c>
    </row>
    <row r="44" spans="1:8" x14ac:dyDescent="0.3">
      <c r="A44">
        <v>6.1689999999999996</v>
      </c>
      <c r="B44">
        <v>5.81</v>
      </c>
      <c r="C44">
        <v>17.899999999999999</v>
      </c>
      <c r="D44">
        <v>531300</v>
      </c>
    </row>
    <row r="45" spans="1:8" x14ac:dyDescent="0.3">
      <c r="A45">
        <v>6.2110000000000003</v>
      </c>
      <c r="B45">
        <v>7.44</v>
      </c>
      <c r="C45">
        <v>17.899999999999999</v>
      </c>
      <c r="D45">
        <v>518700</v>
      </c>
    </row>
    <row r="46" spans="1:8" x14ac:dyDescent="0.3">
      <c r="A46">
        <v>6.069</v>
      </c>
      <c r="B46">
        <v>9.5500000000000007</v>
      </c>
      <c r="C46">
        <v>17.899999999999999</v>
      </c>
      <c r="D46">
        <v>445200</v>
      </c>
    </row>
    <row r="47" spans="1:8" x14ac:dyDescent="0.3">
      <c r="A47">
        <v>5.6820000000000004</v>
      </c>
      <c r="B47">
        <v>10.210000000000001</v>
      </c>
      <c r="C47">
        <v>17.899999999999999</v>
      </c>
      <c r="D47">
        <v>405300</v>
      </c>
    </row>
    <row r="48" spans="1:8" x14ac:dyDescent="0.3">
      <c r="A48">
        <v>5.7859999999999996</v>
      </c>
      <c r="B48">
        <v>14.15</v>
      </c>
      <c r="C48">
        <v>17.899999999999999</v>
      </c>
      <c r="D48">
        <v>420000</v>
      </c>
    </row>
    <row r="49" spans="1:4" x14ac:dyDescent="0.3">
      <c r="A49">
        <v>6.03</v>
      </c>
      <c r="B49">
        <v>18.8</v>
      </c>
      <c r="C49">
        <v>17.899999999999999</v>
      </c>
      <c r="D49">
        <v>348600</v>
      </c>
    </row>
    <row r="50" spans="1:4" x14ac:dyDescent="0.3">
      <c r="A50">
        <v>5.399</v>
      </c>
      <c r="B50">
        <v>30.81</v>
      </c>
      <c r="C50">
        <v>17.899999999999999</v>
      </c>
      <c r="D50">
        <v>302400</v>
      </c>
    </row>
    <row r="51" spans="1:4" x14ac:dyDescent="0.3">
      <c r="A51">
        <v>5.6020000000000003</v>
      </c>
      <c r="B51">
        <v>16.2</v>
      </c>
      <c r="C51">
        <v>17.899999999999999</v>
      </c>
      <c r="D51">
        <v>407400</v>
      </c>
    </row>
    <row r="52" spans="1:4" x14ac:dyDescent="0.3">
      <c r="A52">
        <v>5.9630000000000001</v>
      </c>
      <c r="B52">
        <v>13.45</v>
      </c>
      <c r="C52">
        <v>16.8</v>
      </c>
      <c r="D52">
        <v>413700</v>
      </c>
    </row>
    <row r="53" spans="1:4" x14ac:dyDescent="0.3">
      <c r="A53">
        <v>6.1150000000000002</v>
      </c>
      <c r="B53">
        <v>9.43</v>
      </c>
      <c r="C53">
        <v>16.8</v>
      </c>
      <c r="D53">
        <v>430500</v>
      </c>
    </row>
    <row r="54" spans="1:4" x14ac:dyDescent="0.3">
      <c r="A54">
        <v>6.5110000000000001</v>
      </c>
      <c r="B54">
        <v>5.28</v>
      </c>
      <c r="C54">
        <v>16.8</v>
      </c>
      <c r="D54">
        <v>525000</v>
      </c>
    </row>
    <row r="55" spans="1:4" x14ac:dyDescent="0.3">
      <c r="A55">
        <v>5.9980000000000002</v>
      </c>
      <c r="B55">
        <v>8.43</v>
      </c>
      <c r="C55">
        <v>16.8</v>
      </c>
      <c r="D55">
        <v>491400</v>
      </c>
    </row>
    <row r="56" spans="1:4" x14ac:dyDescent="0.3">
      <c r="A56">
        <v>5.8879999999999999</v>
      </c>
      <c r="B56">
        <v>14.8</v>
      </c>
      <c r="C56">
        <v>21.1</v>
      </c>
      <c r="D56">
        <v>396900</v>
      </c>
    </row>
    <row r="57" spans="1:4" x14ac:dyDescent="0.3">
      <c r="A57">
        <v>7.2489999999999997</v>
      </c>
      <c r="B57">
        <v>4.8099999999999996</v>
      </c>
      <c r="C57">
        <v>17.899999999999999</v>
      </c>
      <c r="D57">
        <v>743400</v>
      </c>
    </row>
    <row r="58" spans="1:4" x14ac:dyDescent="0.3">
      <c r="A58">
        <v>6.383</v>
      </c>
      <c r="B58">
        <v>5.77</v>
      </c>
      <c r="C58">
        <v>17.3</v>
      </c>
      <c r="D58">
        <v>518700</v>
      </c>
    </row>
    <row r="59" spans="1:4" x14ac:dyDescent="0.3">
      <c r="A59">
        <v>6.8159999999999998</v>
      </c>
      <c r="B59">
        <v>3.95</v>
      </c>
      <c r="C59">
        <v>15.1</v>
      </c>
      <c r="D59">
        <v>663600</v>
      </c>
    </row>
    <row r="60" spans="1:4" x14ac:dyDescent="0.3">
      <c r="A60">
        <v>6.1449999999999996</v>
      </c>
      <c r="B60">
        <v>6.86</v>
      </c>
      <c r="C60">
        <v>19.7</v>
      </c>
      <c r="D60">
        <v>489300</v>
      </c>
    </row>
    <row r="61" spans="1:4" x14ac:dyDescent="0.3">
      <c r="A61">
        <v>5.9269999999999996</v>
      </c>
      <c r="B61">
        <v>9.2200000000000006</v>
      </c>
      <c r="C61">
        <v>19.7</v>
      </c>
      <c r="D61">
        <v>411600</v>
      </c>
    </row>
    <row r="62" spans="1:4" x14ac:dyDescent="0.3">
      <c r="A62">
        <v>5.7409999999999997</v>
      </c>
      <c r="B62">
        <v>13.15</v>
      </c>
      <c r="C62">
        <v>19.7</v>
      </c>
      <c r="D62">
        <v>392700</v>
      </c>
    </row>
    <row r="63" spans="1:4" x14ac:dyDescent="0.3">
      <c r="A63">
        <v>5.9660000000000002</v>
      </c>
      <c r="B63">
        <v>14.44</v>
      </c>
      <c r="C63">
        <v>19.7</v>
      </c>
      <c r="D63">
        <v>336000</v>
      </c>
    </row>
    <row r="64" spans="1:4" x14ac:dyDescent="0.3">
      <c r="A64">
        <v>6.4560000000000004</v>
      </c>
      <c r="B64">
        <v>6.73</v>
      </c>
      <c r="C64">
        <v>19.7</v>
      </c>
      <c r="D64">
        <v>466200</v>
      </c>
    </row>
    <row r="65" spans="1:4" x14ac:dyDescent="0.3">
      <c r="A65">
        <v>6.7619999999999996</v>
      </c>
      <c r="B65">
        <v>9.5</v>
      </c>
      <c r="C65">
        <v>19.7</v>
      </c>
      <c r="D65">
        <v>525000</v>
      </c>
    </row>
    <row r="66" spans="1:4" x14ac:dyDescent="0.3">
      <c r="A66">
        <v>7.1040000000000001</v>
      </c>
      <c r="B66">
        <v>8.0500000000000007</v>
      </c>
      <c r="C66">
        <v>18.600000000000001</v>
      </c>
      <c r="D66">
        <v>693000</v>
      </c>
    </row>
    <row r="67" spans="1:4" x14ac:dyDescent="0.3">
      <c r="A67">
        <v>6.29</v>
      </c>
      <c r="B67">
        <v>4.67</v>
      </c>
      <c r="C67">
        <v>16.100000000000001</v>
      </c>
      <c r="D67">
        <v>493500</v>
      </c>
    </row>
    <row r="68" spans="1:4" x14ac:dyDescent="0.3">
      <c r="A68">
        <v>5.7869999999999999</v>
      </c>
      <c r="B68">
        <v>10.24</v>
      </c>
      <c r="C68">
        <v>16.100000000000001</v>
      </c>
      <c r="D68">
        <v>407400</v>
      </c>
    </row>
    <row r="69" spans="1:4" x14ac:dyDescent="0.3">
      <c r="A69">
        <v>5.8780000000000001</v>
      </c>
      <c r="B69">
        <v>8.1</v>
      </c>
      <c r="C69">
        <v>18.899999999999999</v>
      </c>
      <c r="D69">
        <v>462000</v>
      </c>
    </row>
    <row r="70" spans="1:4" x14ac:dyDescent="0.3">
      <c r="A70">
        <v>5.5940000000000003</v>
      </c>
      <c r="B70">
        <v>13.09</v>
      </c>
      <c r="C70">
        <v>18.899999999999999</v>
      </c>
      <c r="D70">
        <v>365400</v>
      </c>
    </row>
    <row r="71" spans="1:4" x14ac:dyDescent="0.3">
      <c r="A71">
        <v>5.8849999999999998</v>
      </c>
      <c r="B71">
        <v>8.7899999999999991</v>
      </c>
      <c r="C71">
        <v>18.899999999999999</v>
      </c>
      <c r="D71">
        <v>438900</v>
      </c>
    </row>
    <row r="72" spans="1:4" x14ac:dyDescent="0.3">
      <c r="A72">
        <v>6.4169999999999998</v>
      </c>
      <c r="B72">
        <v>6.72</v>
      </c>
      <c r="C72">
        <v>19.2</v>
      </c>
      <c r="D72">
        <v>508200</v>
      </c>
    </row>
    <row r="73" spans="1:4" x14ac:dyDescent="0.3">
      <c r="A73">
        <v>5.9610000000000003</v>
      </c>
      <c r="B73">
        <v>9.8800000000000008</v>
      </c>
      <c r="C73">
        <v>19.2</v>
      </c>
      <c r="D73">
        <v>455700</v>
      </c>
    </row>
    <row r="74" spans="1:4" x14ac:dyDescent="0.3">
      <c r="A74">
        <v>6.0650000000000004</v>
      </c>
      <c r="B74">
        <v>5.52</v>
      </c>
      <c r="C74">
        <v>19.2</v>
      </c>
      <c r="D74">
        <v>478800</v>
      </c>
    </row>
    <row r="75" spans="1:4" x14ac:dyDescent="0.3">
      <c r="A75">
        <v>6.2450000000000001</v>
      </c>
      <c r="B75">
        <v>7.54</v>
      </c>
      <c r="C75">
        <v>19.2</v>
      </c>
      <c r="D75">
        <v>491400</v>
      </c>
    </row>
    <row r="76" spans="1:4" x14ac:dyDescent="0.3">
      <c r="A76">
        <v>6.2729999999999997</v>
      </c>
      <c r="B76">
        <v>6.78</v>
      </c>
      <c r="C76">
        <v>18.7</v>
      </c>
      <c r="D76">
        <v>506100</v>
      </c>
    </row>
    <row r="77" spans="1:4" x14ac:dyDescent="0.3">
      <c r="A77">
        <v>6.2859999999999996</v>
      </c>
      <c r="B77">
        <v>8.94</v>
      </c>
      <c r="C77">
        <v>18.7</v>
      </c>
      <c r="D77">
        <v>449400</v>
      </c>
    </row>
    <row r="78" spans="1:4" x14ac:dyDescent="0.3">
      <c r="A78">
        <v>6.2789999999999999</v>
      </c>
      <c r="B78">
        <v>11.97</v>
      </c>
      <c r="C78">
        <v>18.7</v>
      </c>
      <c r="D78">
        <v>420000</v>
      </c>
    </row>
    <row r="79" spans="1:4" x14ac:dyDescent="0.3">
      <c r="A79">
        <v>6.14</v>
      </c>
      <c r="B79">
        <v>10.27</v>
      </c>
      <c r="C79">
        <v>18.7</v>
      </c>
      <c r="D79">
        <v>436800</v>
      </c>
    </row>
    <row r="80" spans="1:4" x14ac:dyDescent="0.3">
      <c r="A80">
        <v>6.2320000000000002</v>
      </c>
      <c r="B80">
        <v>12.34</v>
      </c>
      <c r="C80">
        <v>18.7</v>
      </c>
      <c r="D80">
        <v>445200</v>
      </c>
    </row>
    <row r="81" spans="1:4" x14ac:dyDescent="0.3">
      <c r="A81">
        <v>5.8739999999999997</v>
      </c>
      <c r="B81">
        <v>9.1</v>
      </c>
      <c r="C81">
        <v>18.7</v>
      </c>
      <c r="D81">
        <v>426300</v>
      </c>
    </row>
    <row r="82" spans="1:4" x14ac:dyDescent="0.3">
      <c r="A82">
        <v>6.7270000000000003</v>
      </c>
      <c r="B82">
        <v>5.29</v>
      </c>
      <c r="C82">
        <v>19</v>
      </c>
      <c r="D82">
        <v>588000</v>
      </c>
    </row>
    <row r="83" spans="1:4" x14ac:dyDescent="0.3">
      <c r="A83">
        <v>6.6189999999999998</v>
      </c>
      <c r="B83">
        <v>7.22</v>
      </c>
      <c r="C83">
        <v>19</v>
      </c>
      <c r="D83">
        <v>501900</v>
      </c>
    </row>
    <row r="84" spans="1:4" x14ac:dyDescent="0.3">
      <c r="A84">
        <v>6.3019999999999996</v>
      </c>
      <c r="B84">
        <v>6.72</v>
      </c>
      <c r="C84">
        <v>19</v>
      </c>
      <c r="D84">
        <v>520800</v>
      </c>
    </row>
    <row r="85" spans="1:4" x14ac:dyDescent="0.3">
      <c r="A85">
        <v>6.1669999999999998</v>
      </c>
      <c r="B85">
        <v>7.51</v>
      </c>
      <c r="C85">
        <v>19</v>
      </c>
      <c r="D85">
        <v>480900</v>
      </c>
    </row>
    <row r="86" spans="1:4" x14ac:dyDescent="0.3">
      <c r="A86">
        <v>6.3890000000000002</v>
      </c>
      <c r="B86">
        <v>9.6199999999999992</v>
      </c>
      <c r="C86">
        <v>18.5</v>
      </c>
      <c r="D86">
        <v>501900</v>
      </c>
    </row>
    <row r="87" spans="1:4" x14ac:dyDescent="0.3">
      <c r="A87">
        <v>6.63</v>
      </c>
      <c r="B87">
        <v>6.53</v>
      </c>
      <c r="C87">
        <v>18.5</v>
      </c>
      <c r="D87">
        <v>558600</v>
      </c>
    </row>
    <row r="88" spans="1:4" x14ac:dyDescent="0.3">
      <c r="A88">
        <v>6.0149999999999997</v>
      </c>
      <c r="B88">
        <v>12.86</v>
      </c>
      <c r="C88">
        <v>18.5</v>
      </c>
      <c r="D88">
        <v>472500</v>
      </c>
    </row>
    <row r="89" spans="1:4" x14ac:dyDescent="0.3">
      <c r="A89">
        <v>6.1210000000000004</v>
      </c>
      <c r="B89">
        <v>8.44</v>
      </c>
      <c r="C89">
        <v>18.5</v>
      </c>
      <c r="D89">
        <v>466200</v>
      </c>
    </row>
    <row r="90" spans="1:4" x14ac:dyDescent="0.3">
      <c r="A90">
        <v>7.0069999999999997</v>
      </c>
      <c r="B90">
        <v>5.5</v>
      </c>
      <c r="C90">
        <v>17.8</v>
      </c>
      <c r="D90">
        <v>495600</v>
      </c>
    </row>
    <row r="91" spans="1:4" x14ac:dyDescent="0.3">
      <c r="A91">
        <v>7.0789999999999997</v>
      </c>
      <c r="B91">
        <v>5.7</v>
      </c>
      <c r="C91">
        <v>17.8</v>
      </c>
      <c r="D91">
        <v>602700</v>
      </c>
    </row>
    <row r="92" spans="1:4" x14ac:dyDescent="0.3">
      <c r="A92">
        <v>6.4169999999999998</v>
      </c>
      <c r="B92">
        <v>8.81</v>
      </c>
      <c r="C92">
        <v>17.8</v>
      </c>
      <c r="D92">
        <v>474600</v>
      </c>
    </row>
    <row r="93" spans="1:4" x14ac:dyDescent="0.3">
      <c r="A93">
        <v>6.4050000000000002</v>
      </c>
      <c r="B93">
        <v>8.1999999999999993</v>
      </c>
      <c r="C93">
        <v>17.8</v>
      </c>
      <c r="D93">
        <v>462000</v>
      </c>
    </row>
    <row r="94" spans="1:4" x14ac:dyDescent="0.3">
      <c r="A94">
        <v>6.4420000000000002</v>
      </c>
      <c r="B94">
        <v>8.16</v>
      </c>
      <c r="C94">
        <v>18.2</v>
      </c>
      <c r="D94">
        <v>480900</v>
      </c>
    </row>
    <row r="95" spans="1:4" x14ac:dyDescent="0.3">
      <c r="A95">
        <v>6.2110000000000003</v>
      </c>
      <c r="B95">
        <v>6.21</v>
      </c>
      <c r="C95">
        <v>18.2</v>
      </c>
      <c r="D95">
        <v>525000</v>
      </c>
    </row>
    <row r="96" spans="1:4" x14ac:dyDescent="0.3">
      <c r="A96">
        <v>6.2489999999999997</v>
      </c>
      <c r="B96">
        <v>10.59</v>
      </c>
      <c r="C96">
        <v>18.2</v>
      </c>
      <c r="D96">
        <v>432600</v>
      </c>
    </row>
    <row r="97" spans="1:4" x14ac:dyDescent="0.3">
      <c r="A97">
        <v>6.625</v>
      </c>
      <c r="B97">
        <v>6.65</v>
      </c>
      <c r="C97">
        <v>18</v>
      </c>
      <c r="D97">
        <v>596400</v>
      </c>
    </row>
    <row r="98" spans="1:4" x14ac:dyDescent="0.3">
      <c r="A98">
        <v>6.1630000000000003</v>
      </c>
      <c r="B98">
        <v>11.34</v>
      </c>
      <c r="C98">
        <v>18</v>
      </c>
      <c r="D98">
        <v>449400</v>
      </c>
    </row>
    <row r="99" spans="1:4" x14ac:dyDescent="0.3">
      <c r="A99">
        <v>8.0690000000000008</v>
      </c>
      <c r="B99">
        <v>4.21</v>
      </c>
      <c r="C99">
        <v>18</v>
      </c>
      <c r="D99">
        <v>812700</v>
      </c>
    </row>
    <row r="100" spans="1:4" x14ac:dyDescent="0.3">
      <c r="A100">
        <v>7.82</v>
      </c>
      <c r="B100">
        <v>3.57</v>
      </c>
      <c r="C100">
        <v>18</v>
      </c>
      <c r="D100">
        <v>919800</v>
      </c>
    </row>
    <row r="101" spans="1:4" x14ac:dyDescent="0.3">
      <c r="A101">
        <v>7.4160000000000004</v>
      </c>
      <c r="B101">
        <v>6.19</v>
      </c>
      <c r="C101">
        <v>18</v>
      </c>
      <c r="D101">
        <v>697200</v>
      </c>
    </row>
    <row r="102" spans="1:4" x14ac:dyDescent="0.3">
      <c r="A102">
        <v>6.7270000000000003</v>
      </c>
      <c r="B102">
        <v>9.42</v>
      </c>
      <c r="C102">
        <v>20.9</v>
      </c>
      <c r="D102">
        <v>577500</v>
      </c>
    </row>
    <row r="103" spans="1:4" x14ac:dyDescent="0.3">
      <c r="A103">
        <v>6.7809999999999997</v>
      </c>
      <c r="B103">
        <v>7.67</v>
      </c>
      <c r="C103">
        <v>20.9</v>
      </c>
      <c r="D103">
        <v>556500</v>
      </c>
    </row>
    <row r="104" spans="1:4" x14ac:dyDescent="0.3">
      <c r="A104">
        <v>6.4050000000000002</v>
      </c>
      <c r="B104">
        <v>10.63</v>
      </c>
      <c r="C104">
        <v>20.9</v>
      </c>
      <c r="D104">
        <v>390600</v>
      </c>
    </row>
    <row r="105" spans="1:4" x14ac:dyDescent="0.3">
      <c r="A105">
        <v>6.1369999999999996</v>
      </c>
      <c r="B105">
        <v>13.44</v>
      </c>
      <c r="C105">
        <v>20.9</v>
      </c>
      <c r="D105">
        <v>405300</v>
      </c>
    </row>
    <row r="106" spans="1:4" x14ac:dyDescent="0.3">
      <c r="A106">
        <v>6.1669999999999998</v>
      </c>
      <c r="B106">
        <v>12.33</v>
      </c>
      <c r="C106">
        <v>20.9</v>
      </c>
      <c r="D106">
        <v>422100</v>
      </c>
    </row>
    <row r="107" spans="1:4" x14ac:dyDescent="0.3">
      <c r="A107">
        <v>5.851</v>
      </c>
      <c r="B107">
        <v>16.47</v>
      </c>
      <c r="C107">
        <v>20.9</v>
      </c>
      <c r="D107">
        <v>409500</v>
      </c>
    </row>
    <row r="108" spans="1:4" x14ac:dyDescent="0.3">
      <c r="A108">
        <v>5.8360000000000003</v>
      </c>
      <c r="B108">
        <v>18.66</v>
      </c>
      <c r="C108">
        <v>20.9</v>
      </c>
      <c r="D108">
        <v>409500</v>
      </c>
    </row>
    <row r="109" spans="1:4" x14ac:dyDescent="0.3">
      <c r="A109">
        <v>6.1269999999999998</v>
      </c>
      <c r="B109">
        <v>14.09</v>
      </c>
      <c r="C109">
        <v>20.9</v>
      </c>
      <c r="D109">
        <v>428400</v>
      </c>
    </row>
    <row r="110" spans="1:4" x14ac:dyDescent="0.3">
      <c r="A110">
        <v>6.4740000000000002</v>
      </c>
      <c r="B110">
        <v>12.27</v>
      </c>
      <c r="C110">
        <v>20.9</v>
      </c>
      <c r="D110">
        <v>415800</v>
      </c>
    </row>
    <row r="111" spans="1:4" x14ac:dyDescent="0.3">
      <c r="A111">
        <v>6.2290000000000001</v>
      </c>
      <c r="B111">
        <v>15.55</v>
      </c>
      <c r="C111">
        <v>20.9</v>
      </c>
      <c r="D111">
        <v>407400</v>
      </c>
    </row>
    <row r="112" spans="1:4" x14ac:dyDescent="0.3">
      <c r="A112">
        <v>6.1950000000000003</v>
      </c>
      <c r="B112">
        <v>13</v>
      </c>
      <c r="C112">
        <v>20.9</v>
      </c>
      <c r="D112">
        <v>455700</v>
      </c>
    </row>
    <row r="113" spans="1:4" x14ac:dyDescent="0.3">
      <c r="A113">
        <v>6.7149999999999999</v>
      </c>
      <c r="B113">
        <v>10.16</v>
      </c>
      <c r="C113">
        <v>17.8</v>
      </c>
      <c r="D113">
        <v>478800</v>
      </c>
    </row>
    <row r="114" spans="1:4" x14ac:dyDescent="0.3">
      <c r="A114">
        <v>5.9130000000000003</v>
      </c>
      <c r="B114">
        <v>16.21</v>
      </c>
      <c r="C114">
        <v>17.8</v>
      </c>
      <c r="D114">
        <v>394800</v>
      </c>
    </row>
    <row r="115" spans="1:4" x14ac:dyDescent="0.3">
      <c r="A115">
        <v>6.0919999999999996</v>
      </c>
      <c r="B115">
        <v>17.09</v>
      </c>
      <c r="C115">
        <v>17.8</v>
      </c>
      <c r="D115">
        <v>392700</v>
      </c>
    </row>
    <row r="116" spans="1:4" x14ac:dyDescent="0.3">
      <c r="A116">
        <v>6.2539999999999996</v>
      </c>
      <c r="B116">
        <v>10.45</v>
      </c>
      <c r="C116">
        <v>17.8</v>
      </c>
      <c r="D116">
        <v>388500</v>
      </c>
    </row>
    <row r="117" spans="1:4" x14ac:dyDescent="0.3">
      <c r="A117">
        <v>5.9279999999999999</v>
      </c>
      <c r="B117">
        <v>15.76</v>
      </c>
      <c r="C117">
        <v>17.8</v>
      </c>
      <c r="D117">
        <v>384300</v>
      </c>
    </row>
    <row r="118" spans="1:4" x14ac:dyDescent="0.3">
      <c r="A118">
        <v>6.1760000000000002</v>
      </c>
      <c r="B118">
        <v>12.04</v>
      </c>
      <c r="C118">
        <v>17.8</v>
      </c>
      <c r="D118">
        <v>445200</v>
      </c>
    </row>
    <row r="119" spans="1:4" x14ac:dyDescent="0.3">
      <c r="A119">
        <v>6.0209999999999999</v>
      </c>
      <c r="B119">
        <v>10.3</v>
      </c>
      <c r="C119">
        <v>17.8</v>
      </c>
      <c r="D119">
        <v>403200</v>
      </c>
    </row>
    <row r="120" spans="1:4" x14ac:dyDescent="0.3">
      <c r="A120">
        <v>5.8719999999999999</v>
      </c>
      <c r="B120">
        <v>15.37</v>
      </c>
      <c r="C120">
        <v>17.8</v>
      </c>
      <c r="D120">
        <v>428400</v>
      </c>
    </row>
    <row r="121" spans="1:4" x14ac:dyDescent="0.3">
      <c r="A121">
        <v>5.7309999999999999</v>
      </c>
      <c r="B121">
        <v>13.61</v>
      </c>
      <c r="C121">
        <v>17.8</v>
      </c>
      <c r="D121">
        <v>405300</v>
      </c>
    </row>
    <row r="122" spans="1:4" x14ac:dyDescent="0.3">
      <c r="A122">
        <v>5.87</v>
      </c>
      <c r="B122">
        <v>14.37</v>
      </c>
      <c r="C122">
        <v>19.100000000000001</v>
      </c>
      <c r="D122">
        <v>462000</v>
      </c>
    </row>
    <row r="123" spans="1:4" x14ac:dyDescent="0.3">
      <c r="A123">
        <v>6.0039999999999996</v>
      </c>
      <c r="B123">
        <v>14.27</v>
      </c>
      <c r="C123">
        <v>19.100000000000001</v>
      </c>
      <c r="D123">
        <v>426300</v>
      </c>
    </row>
    <row r="124" spans="1:4" x14ac:dyDescent="0.3">
      <c r="A124">
        <v>5.9610000000000003</v>
      </c>
      <c r="B124">
        <v>17.93</v>
      </c>
      <c r="C124">
        <v>19.100000000000001</v>
      </c>
      <c r="D124">
        <v>430500</v>
      </c>
    </row>
    <row r="125" spans="1:4" x14ac:dyDescent="0.3">
      <c r="A125">
        <v>5.8559999999999999</v>
      </c>
      <c r="B125">
        <v>25.41</v>
      </c>
      <c r="C125">
        <v>19.100000000000001</v>
      </c>
      <c r="D125">
        <v>363300</v>
      </c>
    </row>
    <row r="126" spans="1:4" x14ac:dyDescent="0.3">
      <c r="A126">
        <v>5.8789999999999996</v>
      </c>
      <c r="B126">
        <v>17.579999999999998</v>
      </c>
      <c r="C126">
        <v>19.100000000000001</v>
      </c>
      <c r="D126">
        <v>394800</v>
      </c>
    </row>
    <row r="127" spans="1:4" x14ac:dyDescent="0.3">
      <c r="A127">
        <v>5.9859999999999998</v>
      </c>
      <c r="B127">
        <v>14.81</v>
      </c>
      <c r="C127">
        <v>19.100000000000001</v>
      </c>
      <c r="D127">
        <v>449400</v>
      </c>
    </row>
    <row r="128" spans="1:4" x14ac:dyDescent="0.3">
      <c r="A128">
        <v>5.6130000000000004</v>
      </c>
      <c r="B128">
        <v>27.26</v>
      </c>
      <c r="C128">
        <v>19.100000000000001</v>
      </c>
      <c r="D128">
        <v>329700</v>
      </c>
    </row>
    <row r="129" spans="1:4" x14ac:dyDescent="0.3">
      <c r="A129">
        <v>5.6929999999999996</v>
      </c>
      <c r="B129">
        <v>17.190000000000001</v>
      </c>
      <c r="C129">
        <v>21.2</v>
      </c>
      <c r="D129">
        <v>340200</v>
      </c>
    </row>
    <row r="130" spans="1:4" x14ac:dyDescent="0.3">
      <c r="A130">
        <v>6.431</v>
      </c>
      <c r="B130">
        <v>15.39</v>
      </c>
      <c r="C130">
        <v>21.2</v>
      </c>
      <c r="D130">
        <v>378000</v>
      </c>
    </row>
    <row r="131" spans="1:4" x14ac:dyDescent="0.3">
      <c r="A131">
        <v>5.6369999999999996</v>
      </c>
      <c r="B131">
        <v>18.34</v>
      </c>
      <c r="C131">
        <v>21.2</v>
      </c>
      <c r="D131">
        <v>300300</v>
      </c>
    </row>
    <row r="132" spans="1:4" x14ac:dyDescent="0.3">
      <c r="A132">
        <v>6.4580000000000002</v>
      </c>
      <c r="B132">
        <v>12.6</v>
      </c>
      <c r="C132">
        <v>21.2</v>
      </c>
      <c r="D132">
        <v>403200</v>
      </c>
    </row>
    <row r="133" spans="1:4" x14ac:dyDescent="0.3">
      <c r="A133">
        <v>6.3259999999999996</v>
      </c>
      <c r="B133">
        <v>12.26</v>
      </c>
      <c r="C133">
        <v>21.2</v>
      </c>
      <c r="D133">
        <v>411600</v>
      </c>
    </row>
    <row r="134" spans="1:4" x14ac:dyDescent="0.3">
      <c r="A134">
        <v>6.3719999999999999</v>
      </c>
      <c r="B134">
        <v>11.12</v>
      </c>
      <c r="C134">
        <v>21.2</v>
      </c>
      <c r="D134">
        <v>483000</v>
      </c>
    </row>
    <row r="135" spans="1:4" x14ac:dyDescent="0.3">
      <c r="A135">
        <v>5.8220000000000001</v>
      </c>
      <c r="B135">
        <v>15.03</v>
      </c>
      <c r="C135">
        <v>21.2</v>
      </c>
      <c r="D135">
        <v>386400</v>
      </c>
    </row>
    <row r="136" spans="1:4" x14ac:dyDescent="0.3">
      <c r="A136">
        <v>5.7569999999999997</v>
      </c>
      <c r="B136">
        <v>17.309999999999999</v>
      </c>
      <c r="C136">
        <v>21.2</v>
      </c>
      <c r="D136">
        <v>327600</v>
      </c>
    </row>
    <row r="137" spans="1:4" x14ac:dyDescent="0.3">
      <c r="A137">
        <v>6.335</v>
      </c>
      <c r="B137">
        <v>16.96</v>
      </c>
      <c r="C137">
        <v>21.2</v>
      </c>
      <c r="D137">
        <v>380100</v>
      </c>
    </row>
    <row r="138" spans="1:4" x14ac:dyDescent="0.3">
      <c r="A138">
        <v>5.9420000000000002</v>
      </c>
      <c r="B138">
        <v>16.899999999999999</v>
      </c>
      <c r="C138">
        <v>21.2</v>
      </c>
      <c r="D138">
        <v>365400</v>
      </c>
    </row>
    <row r="139" spans="1:4" x14ac:dyDescent="0.3">
      <c r="A139">
        <v>6.4539999999999997</v>
      </c>
      <c r="B139">
        <v>14.59</v>
      </c>
      <c r="C139">
        <v>21.2</v>
      </c>
      <c r="D139">
        <v>359100</v>
      </c>
    </row>
    <row r="140" spans="1:4" x14ac:dyDescent="0.3">
      <c r="A140">
        <v>5.8570000000000002</v>
      </c>
      <c r="B140">
        <v>21.32</v>
      </c>
      <c r="C140">
        <v>21.2</v>
      </c>
      <c r="D140">
        <v>279300</v>
      </c>
    </row>
    <row r="141" spans="1:4" x14ac:dyDescent="0.3">
      <c r="A141">
        <v>6.1509999999999998</v>
      </c>
      <c r="B141">
        <v>18.46</v>
      </c>
      <c r="C141">
        <v>21.2</v>
      </c>
      <c r="D141">
        <v>373800</v>
      </c>
    </row>
    <row r="142" spans="1:4" x14ac:dyDescent="0.3">
      <c r="A142">
        <v>6.1740000000000004</v>
      </c>
      <c r="B142">
        <v>24.16</v>
      </c>
      <c r="C142">
        <v>21.2</v>
      </c>
      <c r="D142">
        <v>294000</v>
      </c>
    </row>
    <row r="143" spans="1:4" x14ac:dyDescent="0.3">
      <c r="A143">
        <v>5.0190000000000001</v>
      </c>
      <c r="B143">
        <v>34.409999999999997</v>
      </c>
      <c r="C143">
        <v>21.2</v>
      </c>
      <c r="D143">
        <v>302400</v>
      </c>
    </row>
    <row r="144" spans="1:4" x14ac:dyDescent="0.3">
      <c r="A144">
        <v>5.4029999999999996</v>
      </c>
      <c r="B144">
        <v>26.82</v>
      </c>
      <c r="C144">
        <v>14.7</v>
      </c>
      <c r="D144">
        <v>281400</v>
      </c>
    </row>
    <row r="145" spans="1:4" x14ac:dyDescent="0.3">
      <c r="A145">
        <v>5.468</v>
      </c>
      <c r="B145">
        <v>26.42</v>
      </c>
      <c r="C145">
        <v>14.7</v>
      </c>
      <c r="D145">
        <v>327600</v>
      </c>
    </row>
    <row r="146" spans="1:4" x14ac:dyDescent="0.3">
      <c r="A146">
        <v>4.9029999999999996</v>
      </c>
      <c r="B146">
        <v>29.29</v>
      </c>
      <c r="C146">
        <v>14.7</v>
      </c>
      <c r="D146">
        <v>247800</v>
      </c>
    </row>
    <row r="147" spans="1:4" x14ac:dyDescent="0.3">
      <c r="A147">
        <v>6.13</v>
      </c>
      <c r="B147">
        <v>27.8</v>
      </c>
      <c r="C147">
        <v>14.7</v>
      </c>
      <c r="D147">
        <v>289800</v>
      </c>
    </row>
    <row r="148" spans="1:4" x14ac:dyDescent="0.3">
      <c r="A148">
        <v>5.6280000000000001</v>
      </c>
      <c r="B148">
        <v>16.649999999999999</v>
      </c>
      <c r="C148">
        <v>14.7</v>
      </c>
      <c r="D148">
        <v>327600</v>
      </c>
    </row>
    <row r="149" spans="1:4" x14ac:dyDescent="0.3">
      <c r="A149">
        <v>4.9260000000000002</v>
      </c>
      <c r="B149">
        <v>29.53</v>
      </c>
      <c r="C149">
        <v>14.7</v>
      </c>
      <c r="D149">
        <v>306600</v>
      </c>
    </row>
    <row r="150" spans="1:4" x14ac:dyDescent="0.3">
      <c r="A150">
        <v>5.1859999999999999</v>
      </c>
      <c r="B150">
        <v>28.32</v>
      </c>
      <c r="C150">
        <v>14.7</v>
      </c>
      <c r="D150">
        <v>373800</v>
      </c>
    </row>
    <row r="151" spans="1:4" x14ac:dyDescent="0.3">
      <c r="A151">
        <v>5.5970000000000004</v>
      </c>
      <c r="B151">
        <v>21.45</v>
      </c>
      <c r="C151">
        <v>14.7</v>
      </c>
      <c r="D151">
        <v>323400</v>
      </c>
    </row>
    <row r="152" spans="1:4" x14ac:dyDescent="0.3">
      <c r="A152">
        <v>6.1219999999999999</v>
      </c>
      <c r="B152">
        <v>14.1</v>
      </c>
      <c r="C152">
        <v>14.7</v>
      </c>
      <c r="D152">
        <v>451500</v>
      </c>
    </row>
    <row r="153" spans="1:4" x14ac:dyDescent="0.3">
      <c r="A153">
        <v>5.4039999999999999</v>
      </c>
      <c r="B153">
        <v>13.28</v>
      </c>
      <c r="C153">
        <v>14.7</v>
      </c>
      <c r="D153">
        <v>411600</v>
      </c>
    </row>
    <row r="154" spans="1:4" x14ac:dyDescent="0.3">
      <c r="A154">
        <v>5.0119999999999996</v>
      </c>
      <c r="B154">
        <v>12.12</v>
      </c>
      <c r="C154">
        <v>14.7</v>
      </c>
      <c r="D154">
        <v>321300</v>
      </c>
    </row>
    <row r="155" spans="1:4" x14ac:dyDescent="0.3">
      <c r="A155">
        <v>5.7089999999999996</v>
      </c>
      <c r="B155">
        <v>15.79</v>
      </c>
      <c r="C155">
        <v>14.7</v>
      </c>
      <c r="D155">
        <v>407400</v>
      </c>
    </row>
    <row r="156" spans="1:4" x14ac:dyDescent="0.3">
      <c r="A156">
        <v>6.1289999999999996</v>
      </c>
      <c r="B156">
        <v>15.12</v>
      </c>
      <c r="C156">
        <v>14.7</v>
      </c>
      <c r="D156">
        <v>357000</v>
      </c>
    </row>
    <row r="157" spans="1:4" x14ac:dyDescent="0.3">
      <c r="A157">
        <v>6.1520000000000001</v>
      </c>
      <c r="B157">
        <v>15.02</v>
      </c>
      <c r="C157">
        <v>14.7</v>
      </c>
      <c r="D157">
        <v>327600</v>
      </c>
    </row>
    <row r="158" spans="1:4" x14ac:dyDescent="0.3">
      <c r="A158">
        <v>5.2720000000000002</v>
      </c>
      <c r="B158">
        <v>16.14</v>
      </c>
      <c r="C158">
        <v>14.7</v>
      </c>
      <c r="D158">
        <v>275100</v>
      </c>
    </row>
    <row r="159" spans="1:4" x14ac:dyDescent="0.3">
      <c r="A159">
        <v>6.9429999999999996</v>
      </c>
      <c r="B159">
        <v>4.59</v>
      </c>
      <c r="C159">
        <v>14.7</v>
      </c>
      <c r="D159">
        <v>867300</v>
      </c>
    </row>
    <row r="160" spans="1:4" x14ac:dyDescent="0.3">
      <c r="A160">
        <v>6.0659999999999998</v>
      </c>
      <c r="B160">
        <v>6.43</v>
      </c>
      <c r="C160">
        <v>14.7</v>
      </c>
      <c r="D160">
        <v>510300</v>
      </c>
    </row>
    <row r="161" spans="1:4" x14ac:dyDescent="0.3">
      <c r="A161">
        <v>6.51</v>
      </c>
      <c r="B161">
        <v>7.39</v>
      </c>
      <c r="C161">
        <v>14.7</v>
      </c>
      <c r="D161">
        <v>489300</v>
      </c>
    </row>
    <row r="162" spans="1:4" x14ac:dyDescent="0.3">
      <c r="A162">
        <v>6.25</v>
      </c>
      <c r="B162">
        <v>5.5</v>
      </c>
      <c r="C162">
        <v>14.7</v>
      </c>
      <c r="D162">
        <v>567000</v>
      </c>
    </row>
    <row r="163" spans="1:4" x14ac:dyDescent="0.3">
      <c r="A163">
        <v>5.8540000000000001</v>
      </c>
      <c r="B163">
        <v>11.64</v>
      </c>
      <c r="C163">
        <v>14.7</v>
      </c>
      <c r="D163">
        <v>476700</v>
      </c>
    </row>
    <row r="164" spans="1:4" x14ac:dyDescent="0.3">
      <c r="A164">
        <v>6.101</v>
      </c>
      <c r="B164">
        <v>9.81</v>
      </c>
      <c r="C164">
        <v>14.7</v>
      </c>
      <c r="D164">
        <v>525000</v>
      </c>
    </row>
    <row r="165" spans="1:4" x14ac:dyDescent="0.3">
      <c r="A165">
        <v>5.8769999999999998</v>
      </c>
      <c r="B165">
        <v>12.14</v>
      </c>
      <c r="C165">
        <v>14.7</v>
      </c>
      <c r="D165">
        <v>499800</v>
      </c>
    </row>
    <row r="166" spans="1:4" x14ac:dyDescent="0.3">
      <c r="A166">
        <v>6.319</v>
      </c>
      <c r="B166">
        <v>11.1</v>
      </c>
      <c r="C166">
        <v>14.7</v>
      </c>
      <c r="D166">
        <v>499800</v>
      </c>
    </row>
    <row r="167" spans="1:4" x14ac:dyDescent="0.3">
      <c r="A167">
        <v>6.4020000000000001</v>
      </c>
      <c r="B167">
        <v>11.32</v>
      </c>
      <c r="C167">
        <v>14.7</v>
      </c>
      <c r="D167">
        <v>468300</v>
      </c>
    </row>
    <row r="168" spans="1:4" x14ac:dyDescent="0.3">
      <c r="A168">
        <v>5.875</v>
      </c>
      <c r="B168">
        <v>14.43</v>
      </c>
      <c r="C168">
        <v>14.7</v>
      </c>
      <c r="D168">
        <v>365400</v>
      </c>
    </row>
    <row r="169" spans="1:4" x14ac:dyDescent="0.3">
      <c r="A169">
        <v>5.88</v>
      </c>
      <c r="B169">
        <v>12.03</v>
      </c>
      <c r="C169">
        <v>14.7</v>
      </c>
      <c r="D169">
        <v>401100</v>
      </c>
    </row>
    <row r="170" spans="1:4" x14ac:dyDescent="0.3">
      <c r="A170">
        <v>5.5720000000000001</v>
      </c>
      <c r="B170">
        <v>14.69</v>
      </c>
      <c r="C170">
        <v>16.600000000000001</v>
      </c>
      <c r="D170">
        <v>485100</v>
      </c>
    </row>
    <row r="171" spans="1:4" x14ac:dyDescent="0.3">
      <c r="A171">
        <v>6.4160000000000004</v>
      </c>
      <c r="B171">
        <v>9.0399999999999991</v>
      </c>
      <c r="C171">
        <v>16.600000000000001</v>
      </c>
      <c r="D171">
        <v>495600</v>
      </c>
    </row>
    <row r="172" spans="1:4" x14ac:dyDescent="0.3">
      <c r="A172">
        <v>5.859</v>
      </c>
      <c r="B172">
        <v>9.64</v>
      </c>
      <c r="C172">
        <v>16.600000000000001</v>
      </c>
      <c r="D172">
        <v>474600</v>
      </c>
    </row>
    <row r="173" spans="1:4" x14ac:dyDescent="0.3">
      <c r="A173">
        <v>6.5460000000000003</v>
      </c>
      <c r="B173">
        <v>5.33</v>
      </c>
      <c r="C173">
        <v>16.600000000000001</v>
      </c>
      <c r="D173">
        <v>617400</v>
      </c>
    </row>
    <row r="174" spans="1:4" x14ac:dyDescent="0.3">
      <c r="A174">
        <v>6.02</v>
      </c>
      <c r="B174">
        <v>10.11</v>
      </c>
      <c r="C174">
        <v>16.600000000000001</v>
      </c>
      <c r="D174">
        <v>487200</v>
      </c>
    </row>
    <row r="175" spans="1:4" x14ac:dyDescent="0.3">
      <c r="A175">
        <v>6.3150000000000004</v>
      </c>
      <c r="B175">
        <v>6.29</v>
      </c>
      <c r="C175">
        <v>16.600000000000001</v>
      </c>
      <c r="D175">
        <v>516600</v>
      </c>
    </row>
    <row r="176" spans="1:4" x14ac:dyDescent="0.3">
      <c r="A176">
        <v>6.86</v>
      </c>
      <c r="B176">
        <v>6.92</v>
      </c>
      <c r="C176">
        <v>16.600000000000001</v>
      </c>
      <c r="D176">
        <v>627900</v>
      </c>
    </row>
    <row r="177" spans="1:4" x14ac:dyDescent="0.3">
      <c r="A177">
        <v>6.98</v>
      </c>
      <c r="B177">
        <v>5.04</v>
      </c>
      <c r="C177">
        <v>17.8</v>
      </c>
      <c r="D177">
        <v>781200</v>
      </c>
    </row>
    <row r="178" spans="1:4" x14ac:dyDescent="0.3">
      <c r="A178">
        <v>7.7649999999999997</v>
      </c>
      <c r="B178">
        <v>7.56</v>
      </c>
      <c r="C178">
        <v>17.8</v>
      </c>
      <c r="D178">
        <v>835800</v>
      </c>
    </row>
    <row r="179" spans="1:4" x14ac:dyDescent="0.3">
      <c r="A179">
        <v>6.1440000000000001</v>
      </c>
      <c r="B179">
        <v>9.4499999999999993</v>
      </c>
      <c r="C179">
        <v>17.8</v>
      </c>
      <c r="D179">
        <v>760200</v>
      </c>
    </row>
    <row r="180" spans="1:4" x14ac:dyDescent="0.3">
      <c r="A180">
        <v>7.1550000000000002</v>
      </c>
      <c r="B180">
        <v>4.82</v>
      </c>
      <c r="C180">
        <v>17.8</v>
      </c>
      <c r="D180">
        <v>795900</v>
      </c>
    </row>
    <row r="181" spans="1:4" x14ac:dyDescent="0.3">
      <c r="A181">
        <v>6.5629999999999997</v>
      </c>
      <c r="B181">
        <v>5.68</v>
      </c>
      <c r="C181">
        <v>17.8</v>
      </c>
      <c r="D181">
        <v>682500</v>
      </c>
    </row>
    <row r="182" spans="1:4" x14ac:dyDescent="0.3">
      <c r="A182">
        <v>5.6040000000000001</v>
      </c>
      <c r="B182">
        <v>13.98</v>
      </c>
      <c r="C182">
        <v>17.8</v>
      </c>
      <c r="D182">
        <v>554400</v>
      </c>
    </row>
    <row r="183" spans="1:4" x14ac:dyDescent="0.3">
      <c r="A183">
        <v>6.1529999999999996</v>
      </c>
      <c r="B183">
        <v>13.15</v>
      </c>
      <c r="C183">
        <v>17.8</v>
      </c>
      <c r="D183">
        <v>621600</v>
      </c>
    </row>
    <row r="184" spans="1:4" x14ac:dyDescent="0.3">
      <c r="A184">
        <v>6.782</v>
      </c>
      <c r="B184">
        <v>6.68</v>
      </c>
      <c r="C184">
        <v>15.2</v>
      </c>
      <c r="D184">
        <v>672000</v>
      </c>
    </row>
    <row r="185" spans="1:4" x14ac:dyDescent="0.3">
      <c r="A185">
        <v>6.556</v>
      </c>
      <c r="B185">
        <v>4.5599999999999996</v>
      </c>
      <c r="C185">
        <v>15.2</v>
      </c>
      <c r="D185">
        <v>625800</v>
      </c>
    </row>
    <row r="186" spans="1:4" x14ac:dyDescent="0.3">
      <c r="A186">
        <v>7.1849999999999996</v>
      </c>
      <c r="B186">
        <v>5.39</v>
      </c>
      <c r="C186">
        <v>15.2</v>
      </c>
      <c r="D186">
        <v>732900</v>
      </c>
    </row>
    <row r="187" spans="1:4" x14ac:dyDescent="0.3">
      <c r="A187">
        <v>6.9509999999999996</v>
      </c>
      <c r="B187">
        <v>5.0999999999999996</v>
      </c>
      <c r="C187">
        <v>15.2</v>
      </c>
      <c r="D187">
        <v>777000</v>
      </c>
    </row>
    <row r="188" spans="1:4" x14ac:dyDescent="0.3">
      <c r="A188">
        <v>6.7389999999999999</v>
      </c>
      <c r="B188">
        <v>4.6900000000000004</v>
      </c>
      <c r="C188">
        <v>15.2</v>
      </c>
      <c r="D188">
        <v>640500</v>
      </c>
    </row>
    <row r="189" spans="1:4" x14ac:dyDescent="0.3">
      <c r="A189">
        <v>7.1779999999999999</v>
      </c>
      <c r="B189">
        <v>2.87</v>
      </c>
      <c r="C189">
        <v>15.2</v>
      </c>
      <c r="D189">
        <v>764400</v>
      </c>
    </row>
    <row r="190" spans="1:4" x14ac:dyDescent="0.3">
      <c r="A190">
        <v>6.8</v>
      </c>
      <c r="B190">
        <v>5.03</v>
      </c>
      <c r="C190">
        <v>15.6</v>
      </c>
      <c r="D190">
        <v>653100</v>
      </c>
    </row>
    <row r="191" spans="1:4" x14ac:dyDescent="0.3">
      <c r="A191">
        <v>6.6040000000000001</v>
      </c>
      <c r="B191">
        <v>4.38</v>
      </c>
      <c r="C191">
        <v>15.6</v>
      </c>
      <c r="D191">
        <v>611100</v>
      </c>
    </row>
    <row r="192" spans="1:4" x14ac:dyDescent="0.3">
      <c r="A192">
        <v>7.2869999999999999</v>
      </c>
      <c r="B192">
        <v>4.08</v>
      </c>
      <c r="C192">
        <v>12.6</v>
      </c>
      <c r="D192">
        <v>699300</v>
      </c>
    </row>
    <row r="193" spans="1:4" x14ac:dyDescent="0.3">
      <c r="A193">
        <v>7.1070000000000002</v>
      </c>
      <c r="B193">
        <v>8.61</v>
      </c>
      <c r="C193">
        <v>12.6</v>
      </c>
      <c r="D193">
        <v>636300</v>
      </c>
    </row>
    <row r="194" spans="1:4" x14ac:dyDescent="0.3">
      <c r="A194">
        <v>7.274</v>
      </c>
      <c r="B194">
        <v>6.62</v>
      </c>
      <c r="C194">
        <v>12.6</v>
      </c>
      <c r="D194">
        <v>726600</v>
      </c>
    </row>
    <row r="195" spans="1:4" x14ac:dyDescent="0.3">
      <c r="A195">
        <v>6.9749999999999996</v>
      </c>
      <c r="B195">
        <v>4.5599999999999996</v>
      </c>
      <c r="C195">
        <v>17</v>
      </c>
      <c r="D195">
        <v>732900</v>
      </c>
    </row>
    <row r="196" spans="1:4" x14ac:dyDescent="0.3">
      <c r="A196">
        <v>7.1349999999999998</v>
      </c>
      <c r="B196">
        <v>4.45</v>
      </c>
      <c r="C196">
        <v>17</v>
      </c>
      <c r="D196">
        <v>690900</v>
      </c>
    </row>
    <row r="197" spans="1:4" x14ac:dyDescent="0.3">
      <c r="A197">
        <v>6.1619999999999999</v>
      </c>
      <c r="B197">
        <v>7.43</v>
      </c>
      <c r="C197">
        <v>14.7</v>
      </c>
      <c r="D197">
        <v>506100</v>
      </c>
    </row>
    <row r="198" spans="1:4" x14ac:dyDescent="0.3">
      <c r="A198">
        <v>7.61</v>
      </c>
      <c r="B198">
        <v>3.11</v>
      </c>
      <c r="C198">
        <v>14.7</v>
      </c>
      <c r="D198">
        <v>888300</v>
      </c>
    </row>
    <row r="199" spans="1:4" x14ac:dyDescent="0.3">
      <c r="A199">
        <v>7.8529999999999998</v>
      </c>
      <c r="B199">
        <v>3.81</v>
      </c>
      <c r="C199">
        <v>14.7</v>
      </c>
      <c r="D199">
        <v>1018500</v>
      </c>
    </row>
    <row r="200" spans="1:4" x14ac:dyDescent="0.3">
      <c r="A200">
        <v>5.891</v>
      </c>
      <c r="B200">
        <v>10.87</v>
      </c>
      <c r="C200">
        <v>18.600000000000001</v>
      </c>
      <c r="D200">
        <v>474600</v>
      </c>
    </row>
    <row r="201" spans="1:4" x14ac:dyDescent="0.3">
      <c r="A201">
        <v>6.3259999999999996</v>
      </c>
      <c r="B201">
        <v>10.97</v>
      </c>
      <c r="C201">
        <v>18.600000000000001</v>
      </c>
      <c r="D201">
        <v>512400</v>
      </c>
    </row>
    <row r="202" spans="1:4" x14ac:dyDescent="0.3">
      <c r="A202">
        <v>5.7830000000000004</v>
      </c>
      <c r="B202">
        <v>18.059999999999999</v>
      </c>
      <c r="C202">
        <v>18.600000000000001</v>
      </c>
      <c r="D202">
        <v>472500</v>
      </c>
    </row>
    <row r="203" spans="1:4" x14ac:dyDescent="0.3">
      <c r="A203">
        <v>6.0640000000000001</v>
      </c>
      <c r="B203">
        <v>14.66</v>
      </c>
      <c r="C203">
        <v>18.600000000000001</v>
      </c>
      <c r="D203">
        <v>512400</v>
      </c>
    </row>
    <row r="204" spans="1:4" x14ac:dyDescent="0.3">
      <c r="A204">
        <v>5.3440000000000003</v>
      </c>
      <c r="B204">
        <v>23.09</v>
      </c>
      <c r="C204">
        <v>18.600000000000001</v>
      </c>
      <c r="D204">
        <v>420000</v>
      </c>
    </row>
    <row r="205" spans="1:4" x14ac:dyDescent="0.3">
      <c r="A205">
        <v>5.96</v>
      </c>
      <c r="B205">
        <v>17.27</v>
      </c>
      <c r="C205">
        <v>18.600000000000001</v>
      </c>
      <c r="D205">
        <v>455700</v>
      </c>
    </row>
    <row r="206" spans="1:4" x14ac:dyDescent="0.3">
      <c r="A206">
        <v>5.4039999999999999</v>
      </c>
      <c r="B206">
        <v>23.98</v>
      </c>
      <c r="C206">
        <v>18.600000000000001</v>
      </c>
      <c r="D206">
        <v>405300</v>
      </c>
    </row>
    <row r="207" spans="1:4" x14ac:dyDescent="0.3">
      <c r="A207">
        <v>5.8070000000000004</v>
      </c>
      <c r="B207">
        <v>16.03</v>
      </c>
      <c r="C207">
        <v>18.600000000000001</v>
      </c>
      <c r="D207">
        <v>470400</v>
      </c>
    </row>
    <row r="208" spans="1:4" x14ac:dyDescent="0.3">
      <c r="A208">
        <v>6.375</v>
      </c>
      <c r="B208">
        <v>9.3800000000000008</v>
      </c>
      <c r="C208">
        <v>18.600000000000001</v>
      </c>
      <c r="D208">
        <v>590100</v>
      </c>
    </row>
    <row r="209" spans="1:4" x14ac:dyDescent="0.3">
      <c r="A209">
        <v>5.4119999999999999</v>
      </c>
      <c r="B209">
        <v>29.55</v>
      </c>
      <c r="C209">
        <v>18.600000000000001</v>
      </c>
      <c r="D209">
        <v>497700</v>
      </c>
    </row>
    <row r="210" spans="1:4" x14ac:dyDescent="0.3">
      <c r="A210">
        <v>6.1820000000000004</v>
      </c>
      <c r="B210">
        <v>9.4700000000000006</v>
      </c>
      <c r="C210">
        <v>18.600000000000001</v>
      </c>
      <c r="D210">
        <v>525000</v>
      </c>
    </row>
    <row r="211" spans="1:4" x14ac:dyDescent="0.3">
      <c r="A211">
        <v>5.8879999999999999</v>
      </c>
      <c r="B211">
        <v>13.51</v>
      </c>
      <c r="C211">
        <v>16.399999999999999</v>
      </c>
      <c r="D211">
        <v>489300</v>
      </c>
    </row>
    <row r="212" spans="1:4" x14ac:dyDescent="0.3">
      <c r="A212">
        <v>6.6420000000000003</v>
      </c>
      <c r="B212">
        <v>9.69</v>
      </c>
      <c r="C212">
        <v>16.399999999999999</v>
      </c>
      <c r="D212">
        <v>602700</v>
      </c>
    </row>
    <row r="213" spans="1:4" x14ac:dyDescent="0.3">
      <c r="A213">
        <v>5.9509999999999996</v>
      </c>
      <c r="B213">
        <v>17.920000000000002</v>
      </c>
      <c r="C213">
        <v>16.399999999999999</v>
      </c>
      <c r="D213">
        <v>451500</v>
      </c>
    </row>
    <row r="214" spans="1:4" x14ac:dyDescent="0.3">
      <c r="A214">
        <v>6.3730000000000002</v>
      </c>
      <c r="B214">
        <v>10.5</v>
      </c>
      <c r="C214">
        <v>16.399999999999999</v>
      </c>
      <c r="D214">
        <v>483000</v>
      </c>
    </row>
    <row r="215" spans="1:4" x14ac:dyDescent="0.3">
      <c r="A215">
        <v>6.9509999999999996</v>
      </c>
      <c r="B215">
        <v>9.7100000000000009</v>
      </c>
      <c r="C215">
        <v>17.399999999999999</v>
      </c>
      <c r="D215">
        <v>560700</v>
      </c>
    </row>
    <row r="216" spans="1:4" x14ac:dyDescent="0.3">
      <c r="A216">
        <v>6.1639999999999997</v>
      </c>
      <c r="B216">
        <v>21.46</v>
      </c>
      <c r="C216">
        <v>17.399999999999999</v>
      </c>
      <c r="D216">
        <v>455700</v>
      </c>
    </row>
    <row r="217" spans="1:4" x14ac:dyDescent="0.3">
      <c r="A217">
        <v>6.8789999999999996</v>
      </c>
      <c r="B217">
        <v>9.93</v>
      </c>
      <c r="C217">
        <v>17.399999999999999</v>
      </c>
      <c r="D217">
        <v>577500</v>
      </c>
    </row>
    <row r="218" spans="1:4" x14ac:dyDescent="0.3">
      <c r="A218">
        <v>6.6180000000000003</v>
      </c>
      <c r="B218">
        <v>7.6</v>
      </c>
      <c r="C218">
        <v>17.399999999999999</v>
      </c>
      <c r="D218">
        <v>632100</v>
      </c>
    </row>
    <row r="219" spans="1:4" x14ac:dyDescent="0.3">
      <c r="A219">
        <v>8.266</v>
      </c>
      <c r="B219">
        <v>4.1399999999999997</v>
      </c>
      <c r="C219">
        <v>17.399999999999999</v>
      </c>
      <c r="D219">
        <v>940800</v>
      </c>
    </row>
    <row r="220" spans="1:4" x14ac:dyDescent="0.3">
      <c r="A220">
        <v>8.0399999999999991</v>
      </c>
      <c r="B220">
        <v>3.13</v>
      </c>
      <c r="C220">
        <v>17.399999999999999</v>
      </c>
      <c r="D220">
        <v>789600</v>
      </c>
    </row>
    <row r="221" spans="1:4" x14ac:dyDescent="0.3">
      <c r="A221">
        <v>7.1630000000000003</v>
      </c>
      <c r="B221">
        <v>6.36</v>
      </c>
      <c r="C221">
        <v>17.399999999999999</v>
      </c>
      <c r="D221">
        <v>663600</v>
      </c>
    </row>
    <row r="222" spans="1:4" x14ac:dyDescent="0.3">
      <c r="A222">
        <v>7.6859999999999999</v>
      </c>
      <c r="B222">
        <v>3.92</v>
      </c>
      <c r="C222">
        <v>17.399999999999999</v>
      </c>
      <c r="D222">
        <v>980700</v>
      </c>
    </row>
    <row r="223" spans="1:4" x14ac:dyDescent="0.3">
      <c r="A223">
        <v>6.5519999999999996</v>
      </c>
      <c r="B223">
        <v>3.76</v>
      </c>
      <c r="C223">
        <v>17.399999999999999</v>
      </c>
      <c r="D223">
        <v>661500</v>
      </c>
    </row>
    <row r="224" spans="1:4" x14ac:dyDescent="0.3">
      <c r="A224">
        <v>5.9809999999999999</v>
      </c>
      <c r="B224">
        <v>11.65</v>
      </c>
      <c r="C224">
        <v>17.399999999999999</v>
      </c>
      <c r="D224">
        <v>510300</v>
      </c>
    </row>
    <row r="225" spans="1:4" x14ac:dyDescent="0.3">
      <c r="A225">
        <v>7.4119999999999999</v>
      </c>
      <c r="B225">
        <v>5.25</v>
      </c>
      <c r="C225">
        <v>17.399999999999999</v>
      </c>
      <c r="D225">
        <v>665700</v>
      </c>
    </row>
    <row r="226" spans="1:4" x14ac:dyDescent="0.3">
      <c r="A226">
        <v>8.3369999999999997</v>
      </c>
      <c r="B226">
        <v>2.4700000000000002</v>
      </c>
      <c r="C226">
        <v>17.399999999999999</v>
      </c>
      <c r="D226">
        <v>875700</v>
      </c>
    </row>
    <row r="227" spans="1:4" x14ac:dyDescent="0.3">
      <c r="A227">
        <v>8.2469999999999999</v>
      </c>
      <c r="B227">
        <v>3.95</v>
      </c>
      <c r="C227">
        <v>17.399999999999999</v>
      </c>
      <c r="D227">
        <v>1014300</v>
      </c>
    </row>
    <row r="228" spans="1:4" x14ac:dyDescent="0.3">
      <c r="A228">
        <v>6.726</v>
      </c>
      <c r="B228">
        <v>8.0500000000000007</v>
      </c>
      <c r="C228">
        <v>17.399999999999999</v>
      </c>
      <c r="D228">
        <v>609000</v>
      </c>
    </row>
    <row r="229" spans="1:4" x14ac:dyDescent="0.3">
      <c r="A229">
        <v>6.0860000000000003</v>
      </c>
      <c r="B229">
        <v>10.88</v>
      </c>
      <c r="C229">
        <v>17.399999999999999</v>
      </c>
      <c r="D229">
        <v>504000</v>
      </c>
    </row>
    <row r="230" spans="1:4" x14ac:dyDescent="0.3">
      <c r="A230">
        <v>6.6310000000000002</v>
      </c>
      <c r="B230">
        <v>9.5399999999999991</v>
      </c>
      <c r="C230">
        <v>17.399999999999999</v>
      </c>
      <c r="D230">
        <v>527100</v>
      </c>
    </row>
    <row r="231" spans="1:4" x14ac:dyDescent="0.3">
      <c r="A231">
        <v>7.3579999999999997</v>
      </c>
      <c r="B231">
        <v>4.7300000000000004</v>
      </c>
      <c r="C231">
        <v>17.399999999999999</v>
      </c>
      <c r="D231">
        <v>661500</v>
      </c>
    </row>
    <row r="232" spans="1:4" x14ac:dyDescent="0.3">
      <c r="A232">
        <v>6.4809999999999999</v>
      </c>
      <c r="B232">
        <v>6.36</v>
      </c>
      <c r="C232">
        <v>16.600000000000001</v>
      </c>
      <c r="D232">
        <v>497700</v>
      </c>
    </row>
    <row r="233" spans="1:4" x14ac:dyDescent="0.3">
      <c r="A233">
        <v>6.6059999999999999</v>
      </c>
      <c r="B233">
        <v>7.37</v>
      </c>
      <c r="C233">
        <v>16.600000000000001</v>
      </c>
      <c r="D233">
        <v>489300</v>
      </c>
    </row>
    <row r="234" spans="1:4" x14ac:dyDescent="0.3">
      <c r="A234">
        <v>6.8970000000000002</v>
      </c>
      <c r="B234">
        <v>11.38</v>
      </c>
      <c r="C234">
        <v>16.600000000000001</v>
      </c>
      <c r="D234">
        <v>462000</v>
      </c>
    </row>
    <row r="235" spans="1:4" x14ac:dyDescent="0.3">
      <c r="A235">
        <v>6.0949999999999998</v>
      </c>
      <c r="B235">
        <v>12.4</v>
      </c>
      <c r="C235">
        <v>16.600000000000001</v>
      </c>
      <c r="D235">
        <v>422100</v>
      </c>
    </row>
    <row r="236" spans="1:4" x14ac:dyDescent="0.3">
      <c r="A236">
        <v>6.3579999999999997</v>
      </c>
      <c r="B236">
        <v>11.22</v>
      </c>
      <c r="C236">
        <v>16.600000000000001</v>
      </c>
      <c r="D236">
        <v>466200</v>
      </c>
    </row>
    <row r="237" spans="1:4" x14ac:dyDescent="0.3">
      <c r="A237">
        <v>6.3929999999999998</v>
      </c>
      <c r="B237">
        <v>5.19</v>
      </c>
      <c r="C237">
        <v>16.600000000000001</v>
      </c>
      <c r="D237">
        <v>497700</v>
      </c>
    </row>
    <row r="238" spans="1:4" x14ac:dyDescent="0.3">
      <c r="A238">
        <v>5.593</v>
      </c>
      <c r="B238">
        <v>12.5</v>
      </c>
      <c r="C238">
        <v>19.100000000000001</v>
      </c>
      <c r="D238">
        <v>369600</v>
      </c>
    </row>
    <row r="239" spans="1:4" x14ac:dyDescent="0.3">
      <c r="A239">
        <v>5.6050000000000004</v>
      </c>
      <c r="B239">
        <v>18.46</v>
      </c>
      <c r="C239">
        <v>19.100000000000001</v>
      </c>
      <c r="D239">
        <v>388500</v>
      </c>
    </row>
    <row r="240" spans="1:4" x14ac:dyDescent="0.3">
      <c r="A240">
        <v>6.1079999999999997</v>
      </c>
      <c r="B240">
        <v>9.16</v>
      </c>
      <c r="C240">
        <v>19.100000000000001</v>
      </c>
      <c r="D240">
        <v>510300</v>
      </c>
    </row>
    <row r="241" spans="1:4" x14ac:dyDescent="0.3">
      <c r="A241">
        <v>6.226</v>
      </c>
      <c r="B241">
        <v>10.15</v>
      </c>
      <c r="C241">
        <v>19.100000000000001</v>
      </c>
      <c r="D241">
        <v>430500</v>
      </c>
    </row>
    <row r="242" spans="1:4" x14ac:dyDescent="0.3">
      <c r="A242">
        <v>6.4329999999999998</v>
      </c>
      <c r="B242">
        <v>9.52</v>
      </c>
      <c r="C242">
        <v>19.100000000000001</v>
      </c>
      <c r="D242">
        <v>514500</v>
      </c>
    </row>
    <row r="243" spans="1:4" x14ac:dyDescent="0.3">
      <c r="A243">
        <v>6.718</v>
      </c>
      <c r="B243">
        <v>6.56</v>
      </c>
      <c r="C243">
        <v>19.100000000000001</v>
      </c>
      <c r="D243">
        <v>550200</v>
      </c>
    </row>
    <row r="244" spans="1:4" x14ac:dyDescent="0.3">
      <c r="A244">
        <v>6.4870000000000001</v>
      </c>
      <c r="B244">
        <v>5.9</v>
      </c>
      <c r="C244">
        <v>19.100000000000001</v>
      </c>
      <c r="D244">
        <v>512400</v>
      </c>
    </row>
    <row r="245" spans="1:4" x14ac:dyDescent="0.3">
      <c r="A245">
        <v>6.4379999999999997</v>
      </c>
      <c r="B245">
        <v>3.59</v>
      </c>
      <c r="C245">
        <v>19.100000000000001</v>
      </c>
      <c r="D245">
        <v>520800</v>
      </c>
    </row>
    <row r="246" spans="1:4" x14ac:dyDescent="0.3">
      <c r="A246">
        <v>6.9569999999999999</v>
      </c>
      <c r="B246">
        <v>3.53</v>
      </c>
      <c r="C246">
        <v>19.100000000000001</v>
      </c>
      <c r="D246">
        <v>621600</v>
      </c>
    </row>
    <row r="247" spans="1:4" x14ac:dyDescent="0.3">
      <c r="A247">
        <v>8.2590000000000003</v>
      </c>
      <c r="B247">
        <v>3.54</v>
      </c>
      <c r="C247">
        <v>19.100000000000001</v>
      </c>
      <c r="D247">
        <v>898800</v>
      </c>
    </row>
    <row r="248" spans="1:4" x14ac:dyDescent="0.3">
      <c r="A248">
        <v>6.1079999999999997</v>
      </c>
      <c r="B248">
        <v>6.57</v>
      </c>
      <c r="C248">
        <v>16.399999999999999</v>
      </c>
      <c r="D248">
        <v>459900</v>
      </c>
    </row>
    <row r="249" spans="1:4" x14ac:dyDescent="0.3">
      <c r="A249">
        <v>5.8760000000000003</v>
      </c>
      <c r="B249">
        <v>9.25</v>
      </c>
      <c r="C249">
        <v>16.399999999999999</v>
      </c>
      <c r="D249">
        <v>438900</v>
      </c>
    </row>
    <row r="250" spans="1:4" x14ac:dyDescent="0.3">
      <c r="A250">
        <v>7.4539999999999997</v>
      </c>
      <c r="B250">
        <v>3.11</v>
      </c>
      <c r="C250">
        <v>15.9</v>
      </c>
      <c r="D250">
        <v>924000</v>
      </c>
    </row>
    <row r="251" spans="1:4" x14ac:dyDescent="0.3">
      <c r="A251">
        <v>7.3330000000000002</v>
      </c>
      <c r="B251">
        <v>7.79</v>
      </c>
      <c r="C251">
        <v>13</v>
      </c>
      <c r="D251">
        <v>756000</v>
      </c>
    </row>
    <row r="252" spans="1:4" x14ac:dyDescent="0.3">
      <c r="A252">
        <v>6.8419999999999996</v>
      </c>
      <c r="B252">
        <v>6.9</v>
      </c>
      <c r="C252">
        <v>13</v>
      </c>
      <c r="D252">
        <v>632100</v>
      </c>
    </row>
    <row r="253" spans="1:4" x14ac:dyDescent="0.3">
      <c r="A253">
        <v>7.2030000000000003</v>
      </c>
      <c r="B253">
        <v>9.59</v>
      </c>
      <c r="C253">
        <v>13</v>
      </c>
      <c r="D253">
        <v>709800</v>
      </c>
    </row>
    <row r="254" spans="1:4" x14ac:dyDescent="0.3">
      <c r="A254">
        <v>7.52</v>
      </c>
      <c r="B254">
        <v>7.26</v>
      </c>
      <c r="C254">
        <v>13</v>
      </c>
      <c r="D254">
        <v>905100</v>
      </c>
    </row>
    <row r="255" spans="1:4" x14ac:dyDescent="0.3">
      <c r="A255">
        <v>8.3979999999999997</v>
      </c>
      <c r="B255">
        <v>5.91</v>
      </c>
      <c r="C255">
        <v>13</v>
      </c>
      <c r="D255">
        <v>1024800</v>
      </c>
    </row>
    <row r="256" spans="1:4" x14ac:dyDescent="0.3">
      <c r="A256">
        <v>7.327</v>
      </c>
      <c r="B256">
        <v>11.25</v>
      </c>
      <c r="C256">
        <v>13</v>
      </c>
      <c r="D256">
        <v>651000</v>
      </c>
    </row>
    <row r="257" spans="1:4" x14ac:dyDescent="0.3">
      <c r="A257">
        <v>7.2060000000000004</v>
      </c>
      <c r="B257">
        <v>8.1</v>
      </c>
      <c r="C257">
        <v>13</v>
      </c>
      <c r="D257">
        <v>766500</v>
      </c>
    </row>
    <row r="258" spans="1:4" x14ac:dyDescent="0.3">
      <c r="A258">
        <v>5.56</v>
      </c>
      <c r="B258">
        <v>10.45</v>
      </c>
      <c r="C258">
        <v>13</v>
      </c>
      <c r="D258">
        <v>478800</v>
      </c>
    </row>
    <row r="259" spans="1:4" x14ac:dyDescent="0.3">
      <c r="A259">
        <v>7.0140000000000002</v>
      </c>
      <c r="B259">
        <v>14.79</v>
      </c>
      <c r="C259">
        <v>13</v>
      </c>
      <c r="D259">
        <v>644700</v>
      </c>
    </row>
    <row r="260" spans="1:4" x14ac:dyDescent="0.3">
      <c r="A260">
        <v>7.47</v>
      </c>
      <c r="B260">
        <v>3.16</v>
      </c>
      <c r="C260">
        <v>13</v>
      </c>
      <c r="D260">
        <v>913500</v>
      </c>
    </row>
    <row r="261" spans="1:4" x14ac:dyDescent="0.3">
      <c r="A261">
        <v>5.92</v>
      </c>
      <c r="B261">
        <v>13.65</v>
      </c>
      <c r="C261">
        <v>18.600000000000001</v>
      </c>
      <c r="D261">
        <v>434700</v>
      </c>
    </row>
    <row r="262" spans="1:4" x14ac:dyDescent="0.3">
      <c r="A262">
        <v>5.8559999999999999</v>
      </c>
      <c r="B262">
        <v>13</v>
      </c>
      <c r="C262">
        <v>18.600000000000001</v>
      </c>
      <c r="D262">
        <v>443100</v>
      </c>
    </row>
    <row r="263" spans="1:4" x14ac:dyDescent="0.3">
      <c r="A263">
        <v>6.24</v>
      </c>
      <c r="B263">
        <v>6.59</v>
      </c>
      <c r="C263">
        <v>18.600000000000001</v>
      </c>
      <c r="D263">
        <v>529200</v>
      </c>
    </row>
    <row r="264" spans="1:4" x14ac:dyDescent="0.3">
      <c r="A264">
        <v>6.5380000000000003</v>
      </c>
      <c r="B264">
        <v>7.73</v>
      </c>
      <c r="C264">
        <v>18.600000000000001</v>
      </c>
      <c r="D264">
        <v>512400</v>
      </c>
    </row>
    <row r="265" spans="1:4" x14ac:dyDescent="0.3">
      <c r="A265">
        <v>7.6909999999999998</v>
      </c>
      <c r="B265">
        <v>6.58</v>
      </c>
      <c r="C265">
        <v>18.600000000000001</v>
      </c>
      <c r="D265">
        <v>739200</v>
      </c>
    </row>
    <row r="266" spans="1:4" x14ac:dyDescent="0.3">
      <c r="A266">
        <v>6.758</v>
      </c>
      <c r="B266">
        <v>3.53</v>
      </c>
      <c r="C266">
        <v>17.600000000000001</v>
      </c>
      <c r="D266">
        <v>680400</v>
      </c>
    </row>
    <row r="267" spans="1:4" x14ac:dyDescent="0.3">
      <c r="A267">
        <v>6.8540000000000001</v>
      </c>
      <c r="B267">
        <v>2.98</v>
      </c>
      <c r="C267">
        <v>17.600000000000001</v>
      </c>
      <c r="D267">
        <v>672000</v>
      </c>
    </row>
    <row r="268" spans="1:4" x14ac:dyDescent="0.3">
      <c r="A268">
        <v>7.2670000000000003</v>
      </c>
      <c r="B268">
        <v>6.05</v>
      </c>
      <c r="C268">
        <v>17.600000000000001</v>
      </c>
      <c r="D268">
        <v>697200</v>
      </c>
    </row>
    <row r="269" spans="1:4" x14ac:dyDescent="0.3">
      <c r="A269">
        <v>6.8259999999999996</v>
      </c>
      <c r="B269">
        <v>4.16</v>
      </c>
      <c r="C269">
        <v>17.600000000000001</v>
      </c>
      <c r="D269">
        <v>695100</v>
      </c>
    </row>
    <row r="270" spans="1:4" x14ac:dyDescent="0.3">
      <c r="A270">
        <v>6.4820000000000002</v>
      </c>
      <c r="B270">
        <v>7.19</v>
      </c>
      <c r="C270">
        <v>17.600000000000001</v>
      </c>
      <c r="D270">
        <v>611100</v>
      </c>
    </row>
    <row r="271" spans="1:4" x14ac:dyDescent="0.3">
      <c r="A271">
        <v>6.8120000000000003</v>
      </c>
      <c r="B271">
        <v>4.8499999999999996</v>
      </c>
      <c r="C271">
        <v>14.9</v>
      </c>
      <c r="D271">
        <v>737100</v>
      </c>
    </row>
    <row r="272" spans="1:4" x14ac:dyDescent="0.3">
      <c r="A272">
        <v>7.82</v>
      </c>
      <c r="B272">
        <v>3.76</v>
      </c>
      <c r="C272">
        <v>14.9</v>
      </c>
      <c r="D272">
        <v>953400</v>
      </c>
    </row>
    <row r="273" spans="1:4" x14ac:dyDescent="0.3">
      <c r="A273">
        <v>6.968</v>
      </c>
      <c r="B273">
        <v>4.59</v>
      </c>
      <c r="C273">
        <v>14.9</v>
      </c>
      <c r="D273">
        <v>743400</v>
      </c>
    </row>
    <row r="274" spans="1:4" x14ac:dyDescent="0.3">
      <c r="A274">
        <v>7.6449999999999996</v>
      </c>
      <c r="B274">
        <v>3.01</v>
      </c>
      <c r="C274">
        <v>14.9</v>
      </c>
      <c r="D274">
        <v>966000</v>
      </c>
    </row>
    <row r="275" spans="1:4" x14ac:dyDescent="0.3">
      <c r="A275">
        <v>7.0880000000000001</v>
      </c>
      <c r="B275">
        <v>7.85</v>
      </c>
      <c r="C275">
        <v>15.3</v>
      </c>
      <c r="D275">
        <v>676200</v>
      </c>
    </row>
    <row r="276" spans="1:4" x14ac:dyDescent="0.3">
      <c r="A276">
        <v>6.4530000000000003</v>
      </c>
      <c r="B276">
        <v>8.23</v>
      </c>
      <c r="C276">
        <v>15.3</v>
      </c>
      <c r="D276">
        <v>462000</v>
      </c>
    </row>
    <row r="277" spans="1:4" x14ac:dyDescent="0.3">
      <c r="A277">
        <v>6.23</v>
      </c>
      <c r="B277">
        <v>12.93</v>
      </c>
      <c r="C277">
        <v>18.2</v>
      </c>
      <c r="D277">
        <v>422100</v>
      </c>
    </row>
    <row r="278" spans="1:4" x14ac:dyDescent="0.3">
      <c r="A278">
        <v>6.2089999999999996</v>
      </c>
      <c r="B278">
        <v>7.14</v>
      </c>
      <c r="C278">
        <v>16.600000000000001</v>
      </c>
      <c r="D278">
        <v>487200</v>
      </c>
    </row>
    <row r="279" spans="1:4" x14ac:dyDescent="0.3">
      <c r="A279">
        <v>6.3150000000000004</v>
      </c>
      <c r="B279">
        <v>7.6</v>
      </c>
      <c r="C279">
        <v>16.600000000000001</v>
      </c>
      <c r="D279">
        <v>468300</v>
      </c>
    </row>
    <row r="280" spans="1:4" x14ac:dyDescent="0.3">
      <c r="A280">
        <v>6.5650000000000004</v>
      </c>
      <c r="B280">
        <v>9.51</v>
      </c>
      <c r="C280">
        <v>16.600000000000001</v>
      </c>
      <c r="D280">
        <v>520800</v>
      </c>
    </row>
    <row r="281" spans="1:4" x14ac:dyDescent="0.3">
      <c r="A281">
        <v>6.8609999999999998</v>
      </c>
      <c r="B281">
        <v>3.33</v>
      </c>
      <c r="C281">
        <v>19.2</v>
      </c>
      <c r="D281">
        <v>598500</v>
      </c>
    </row>
    <row r="282" spans="1:4" x14ac:dyDescent="0.3">
      <c r="A282">
        <v>7.1479999999999997</v>
      </c>
      <c r="B282">
        <v>3.56</v>
      </c>
      <c r="C282">
        <v>19.2</v>
      </c>
      <c r="D282">
        <v>783300</v>
      </c>
    </row>
    <row r="283" spans="1:4" x14ac:dyDescent="0.3">
      <c r="A283">
        <v>6.63</v>
      </c>
      <c r="B283">
        <v>4.7</v>
      </c>
      <c r="C283">
        <v>19.2</v>
      </c>
      <c r="D283">
        <v>585900</v>
      </c>
    </row>
    <row r="284" spans="1:4" x14ac:dyDescent="0.3">
      <c r="A284">
        <v>6.1269999999999998</v>
      </c>
      <c r="B284">
        <v>8.58</v>
      </c>
      <c r="C284">
        <v>16</v>
      </c>
      <c r="D284">
        <v>501900</v>
      </c>
    </row>
    <row r="285" spans="1:4" x14ac:dyDescent="0.3">
      <c r="A285">
        <v>6.0090000000000003</v>
      </c>
      <c r="B285">
        <v>10.4</v>
      </c>
      <c r="C285">
        <v>16</v>
      </c>
      <c r="D285">
        <v>455700</v>
      </c>
    </row>
    <row r="286" spans="1:4" x14ac:dyDescent="0.3">
      <c r="A286">
        <v>6.6779999999999999</v>
      </c>
      <c r="B286">
        <v>6.27</v>
      </c>
      <c r="C286">
        <v>16</v>
      </c>
      <c r="D286">
        <v>600600</v>
      </c>
    </row>
    <row r="287" spans="1:4" x14ac:dyDescent="0.3">
      <c r="A287">
        <v>6.5490000000000004</v>
      </c>
      <c r="B287">
        <v>7.39</v>
      </c>
      <c r="C287">
        <v>16</v>
      </c>
      <c r="D287">
        <v>569100</v>
      </c>
    </row>
    <row r="288" spans="1:4" x14ac:dyDescent="0.3">
      <c r="A288">
        <v>5.79</v>
      </c>
      <c r="B288">
        <v>15.84</v>
      </c>
      <c r="C288">
        <v>16</v>
      </c>
      <c r="D288">
        <v>426300</v>
      </c>
    </row>
    <row r="289" spans="1:4" x14ac:dyDescent="0.3">
      <c r="A289">
        <v>6.3449999999999998</v>
      </c>
      <c r="B289">
        <v>4.97</v>
      </c>
      <c r="C289">
        <v>14.8</v>
      </c>
      <c r="D289">
        <v>472500</v>
      </c>
    </row>
    <row r="290" spans="1:4" x14ac:dyDescent="0.3">
      <c r="A290">
        <v>7.0410000000000004</v>
      </c>
      <c r="B290">
        <v>4.74</v>
      </c>
      <c r="C290">
        <v>14.8</v>
      </c>
      <c r="D290">
        <v>609000</v>
      </c>
    </row>
    <row r="291" spans="1:4" x14ac:dyDescent="0.3">
      <c r="A291">
        <v>6.8710000000000004</v>
      </c>
      <c r="B291">
        <v>6.07</v>
      </c>
      <c r="C291">
        <v>14.8</v>
      </c>
      <c r="D291">
        <v>520800</v>
      </c>
    </row>
    <row r="292" spans="1:4" x14ac:dyDescent="0.3">
      <c r="A292">
        <v>6.59</v>
      </c>
      <c r="B292">
        <v>9.5</v>
      </c>
      <c r="C292">
        <v>16.100000000000001</v>
      </c>
      <c r="D292">
        <v>462000</v>
      </c>
    </row>
    <row r="293" spans="1:4" x14ac:dyDescent="0.3">
      <c r="A293">
        <v>6.4950000000000001</v>
      </c>
      <c r="B293">
        <v>8.67</v>
      </c>
      <c r="C293">
        <v>16.100000000000001</v>
      </c>
      <c r="D293">
        <v>554400</v>
      </c>
    </row>
    <row r="294" spans="1:4" x14ac:dyDescent="0.3">
      <c r="A294">
        <v>6.9820000000000002</v>
      </c>
      <c r="B294">
        <v>4.8600000000000003</v>
      </c>
      <c r="C294">
        <v>16.100000000000001</v>
      </c>
      <c r="D294">
        <v>695100</v>
      </c>
    </row>
    <row r="295" spans="1:4" x14ac:dyDescent="0.3">
      <c r="A295">
        <v>7.2359999999999998</v>
      </c>
      <c r="B295">
        <v>6.93</v>
      </c>
      <c r="C295">
        <v>18.399999999999999</v>
      </c>
      <c r="D295">
        <v>758100</v>
      </c>
    </row>
    <row r="296" spans="1:4" x14ac:dyDescent="0.3">
      <c r="A296">
        <v>6.6159999999999997</v>
      </c>
      <c r="B296">
        <v>8.93</v>
      </c>
      <c r="C296">
        <v>18.399999999999999</v>
      </c>
      <c r="D296">
        <v>596400</v>
      </c>
    </row>
    <row r="297" spans="1:4" x14ac:dyDescent="0.3">
      <c r="A297">
        <v>7.42</v>
      </c>
      <c r="B297">
        <v>6.47</v>
      </c>
      <c r="C297">
        <v>18.399999999999999</v>
      </c>
      <c r="D297">
        <v>701400</v>
      </c>
    </row>
    <row r="298" spans="1:4" x14ac:dyDescent="0.3">
      <c r="A298">
        <v>6.8490000000000002</v>
      </c>
      <c r="B298">
        <v>7.53</v>
      </c>
      <c r="C298">
        <v>18.399999999999999</v>
      </c>
      <c r="D298">
        <v>592200</v>
      </c>
    </row>
    <row r="299" spans="1:4" x14ac:dyDescent="0.3">
      <c r="A299">
        <v>6.6349999999999998</v>
      </c>
      <c r="B299">
        <v>4.54</v>
      </c>
      <c r="C299">
        <v>18.399999999999999</v>
      </c>
      <c r="D299">
        <v>478800</v>
      </c>
    </row>
    <row r="300" spans="1:4" x14ac:dyDescent="0.3">
      <c r="A300">
        <v>5.9720000000000004</v>
      </c>
      <c r="B300">
        <v>9.9700000000000006</v>
      </c>
      <c r="C300">
        <v>18.399999999999999</v>
      </c>
      <c r="D300">
        <v>426300</v>
      </c>
    </row>
    <row r="301" spans="1:4" x14ac:dyDescent="0.3">
      <c r="A301">
        <v>4.9729999999999999</v>
      </c>
      <c r="B301">
        <v>12.64</v>
      </c>
      <c r="C301">
        <v>18.399999999999999</v>
      </c>
      <c r="D301">
        <v>338100</v>
      </c>
    </row>
    <row r="302" spans="1:4" x14ac:dyDescent="0.3">
      <c r="A302">
        <v>6.1219999999999999</v>
      </c>
      <c r="B302">
        <v>5.98</v>
      </c>
      <c r="C302">
        <v>18.399999999999999</v>
      </c>
      <c r="D302">
        <v>464100</v>
      </c>
    </row>
    <row r="303" spans="1:4" x14ac:dyDescent="0.3">
      <c r="A303">
        <v>6.0229999999999997</v>
      </c>
      <c r="B303">
        <v>11.72</v>
      </c>
      <c r="C303">
        <v>18.399999999999999</v>
      </c>
      <c r="D303">
        <v>407400</v>
      </c>
    </row>
    <row r="304" spans="1:4" x14ac:dyDescent="0.3">
      <c r="A304">
        <v>6.266</v>
      </c>
      <c r="B304">
        <v>7.9</v>
      </c>
      <c r="C304">
        <v>18.399999999999999</v>
      </c>
      <c r="D304">
        <v>453600</v>
      </c>
    </row>
    <row r="305" spans="1:4" x14ac:dyDescent="0.3">
      <c r="A305">
        <v>6.5670000000000002</v>
      </c>
      <c r="B305">
        <v>9.2799999999999994</v>
      </c>
      <c r="C305">
        <v>18.399999999999999</v>
      </c>
      <c r="D305">
        <v>499800</v>
      </c>
    </row>
    <row r="306" spans="1:4" x14ac:dyDescent="0.3">
      <c r="A306">
        <v>5.7050000000000001</v>
      </c>
      <c r="B306">
        <v>11.5</v>
      </c>
      <c r="C306">
        <v>18.399999999999999</v>
      </c>
      <c r="D306">
        <v>340200</v>
      </c>
    </row>
    <row r="307" spans="1:4" x14ac:dyDescent="0.3">
      <c r="A307">
        <v>5.9139999999999997</v>
      </c>
      <c r="B307">
        <v>18.329999999999998</v>
      </c>
      <c r="C307">
        <v>18.399999999999999</v>
      </c>
      <c r="D307">
        <v>373800</v>
      </c>
    </row>
    <row r="308" spans="1:4" x14ac:dyDescent="0.3">
      <c r="A308">
        <v>5.782</v>
      </c>
      <c r="B308">
        <v>15.94</v>
      </c>
      <c r="C308">
        <v>18.399999999999999</v>
      </c>
      <c r="D308">
        <v>415800</v>
      </c>
    </row>
    <row r="309" spans="1:4" x14ac:dyDescent="0.3">
      <c r="A309">
        <v>6.3819999999999997</v>
      </c>
      <c r="B309">
        <v>10.36</v>
      </c>
      <c r="C309">
        <v>18.399999999999999</v>
      </c>
      <c r="D309">
        <v>485100</v>
      </c>
    </row>
    <row r="310" spans="1:4" x14ac:dyDescent="0.3">
      <c r="A310">
        <v>6.1130000000000004</v>
      </c>
      <c r="B310">
        <v>12.73</v>
      </c>
      <c r="C310">
        <v>18.399999999999999</v>
      </c>
      <c r="D310">
        <v>441000</v>
      </c>
    </row>
    <row r="311" spans="1:4" x14ac:dyDescent="0.3">
      <c r="A311">
        <v>6.4260000000000002</v>
      </c>
      <c r="B311">
        <v>7.2</v>
      </c>
      <c r="C311">
        <v>19.600000000000001</v>
      </c>
      <c r="D311">
        <v>499800</v>
      </c>
    </row>
    <row r="312" spans="1:4" x14ac:dyDescent="0.3">
      <c r="A312">
        <v>6.3760000000000003</v>
      </c>
      <c r="B312">
        <v>6.87</v>
      </c>
      <c r="C312">
        <v>19.600000000000001</v>
      </c>
      <c r="D312">
        <v>485100</v>
      </c>
    </row>
    <row r="313" spans="1:4" x14ac:dyDescent="0.3">
      <c r="A313">
        <v>6.0410000000000004</v>
      </c>
      <c r="B313">
        <v>7.7</v>
      </c>
      <c r="C313">
        <v>19.600000000000001</v>
      </c>
      <c r="D313">
        <v>428400</v>
      </c>
    </row>
    <row r="314" spans="1:4" x14ac:dyDescent="0.3">
      <c r="A314">
        <v>5.7080000000000002</v>
      </c>
      <c r="B314">
        <v>11.74</v>
      </c>
      <c r="C314">
        <v>19.600000000000001</v>
      </c>
      <c r="D314">
        <v>388500</v>
      </c>
    </row>
    <row r="315" spans="1:4" x14ac:dyDescent="0.3">
      <c r="A315">
        <v>6.415</v>
      </c>
      <c r="B315">
        <v>6.12</v>
      </c>
      <c r="C315">
        <v>19.600000000000001</v>
      </c>
      <c r="D315">
        <v>525000</v>
      </c>
    </row>
    <row r="316" spans="1:4" x14ac:dyDescent="0.3">
      <c r="A316">
        <v>6.431</v>
      </c>
      <c r="B316">
        <v>5.08</v>
      </c>
      <c r="C316">
        <v>19.600000000000001</v>
      </c>
      <c r="D316">
        <v>516600</v>
      </c>
    </row>
    <row r="317" spans="1:4" x14ac:dyDescent="0.3">
      <c r="A317">
        <v>6.3120000000000003</v>
      </c>
      <c r="B317">
        <v>6.15</v>
      </c>
      <c r="C317">
        <v>19.600000000000001</v>
      </c>
      <c r="D317">
        <v>483000</v>
      </c>
    </row>
    <row r="318" spans="1:4" x14ac:dyDescent="0.3">
      <c r="A318">
        <v>6.0830000000000002</v>
      </c>
      <c r="B318">
        <v>12.79</v>
      </c>
      <c r="C318">
        <v>19.600000000000001</v>
      </c>
      <c r="D318">
        <v>466200</v>
      </c>
    </row>
    <row r="319" spans="1:4" x14ac:dyDescent="0.3">
      <c r="A319">
        <v>5.8680000000000003</v>
      </c>
      <c r="B319">
        <v>9.9700000000000006</v>
      </c>
      <c r="C319">
        <v>16.899999999999999</v>
      </c>
      <c r="D319">
        <v>405300</v>
      </c>
    </row>
    <row r="320" spans="1:4" x14ac:dyDescent="0.3">
      <c r="A320">
        <v>6.3330000000000002</v>
      </c>
      <c r="B320">
        <v>7.34</v>
      </c>
      <c r="C320">
        <v>16.899999999999999</v>
      </c>
      <c r="D320">
        <v>474600</v>
      </c>
    </row>
    <row r="321" spans="1:4" x14ac:dyDescent="0.3">
      <c r="A321">
        <v>6.1440000000000001</v>
      </c>
      <c r="B321">
        <v>9.09</v>
      </c>
      <c r="C321">
        <v>16.899999999999999</v>
      </c>
      <c r="D321">
        <v>415800</v>
      </c>
    </row>
    <row r="322" spans="1:4" x14ac:dyDescent="0.3">
      <c r="A322">
        <v>5.7060000000000004</v>
      </c>
      <c r="B322">
        <v>12.43</v>
      </c>
      <c r="C322">
        <v>16.899999999999999</v>
      </c>
      <c r="D322">
        <v>359100</v>
      </c>
    </row>
    <row r="323" spans="1:4" x14ac:dyDescent="0.3">
      <c r="A323">
        <v>6.0309999999999997</v>
      </c>
      <c r="B323">
        <v>7.83</v>
      </c>
      <c r="C323">
        <v>16.899999999999999</v>
      </c>
      <c r="D323">
        <v>407400</v>
      </c>
    </row>
    <row r="324" spans="1:4" x14ac:dyDescent="0.3">
      <c r="A324">
        <v>6.3159999999999998</v>
      </c>
      <c r="B324">
        <v>5.68</v>
      </c>
      <c r="C324">
        <v>20.2</v>
      </c>
      <c r="D324">
        <v>466200</v>
      </c>
    </row>
    <row r="325" spans="1:4" x14ac:dyDescent="0.3">
      <c r="A325">
        <v>6.31</v>
      </c>
      <c r="B325">
        <v>6.75</v>
      </c>
      <c r="C325">
        <v>20.2</v>
      </c>
      <c r="D325">
        <v>434700</v>
      </c>
    </row>
    <row r="326" spans="1:4" x14ac:dyDescent="0.3">
      <c r="A326">
        <v>6.0369999999999999</v>
      </c>
      <c r="B326">
        <v>8.01</v>
      </c>
      <c r="C326">
        <v>20.2</v>
      </c>
      <c r="D326">
        <v>443100</v>
      </c>
    </row>
    <row r="327" spans="1:4" x14ac:dyDescent="0.3">
      <c r="A327">
        <v>5.8689999999999998</v>
      </c>
      <c r="B327">
        <v>9.8000000000000007</v>
      </c>
      <c r="C327">
        <v>20.2</v>
      </c>
      <c r="D327">
        <v>409500</v>
      </c>
    </row>
    <row r="328" spans="1:4" x14ac:dyDescent="0.3">
      <c r="A328">
        <v>5.8949999999999996</v>
      </c>
      <c r="B328">
        <v>10.56</v>
      </c>
      <c r="C328">
        <v>20.2</v>
      </c>
      <c r="D328">
        <v>388500</v>
      </c>
    </row>
    <row r="329" spans="1:4" x14ac:dyDescent="0.3">
      <c r="A329">
        <v>6.0590000000000002</v>
      </c>
      <c r="B329">
        <v>8.51</v>
      </c>
      <c r="C329">
        <v>20.2</v>
      </c>
      <c r="D329">
        <v>432600</v>
      </c>
    </row>
    <row r="330" spans="1:4" x14ac:dyDescent="0.3">
      <c r="A330">
        <v>5.9850000000000003</v>
      </c>
      <c r="B330">
        <v>9.74</v>
      </c>
      <c r="C330">
        <v>20.2</v>
      </c>
      <c r="D330">
        <v>399000</v>
      </c>
    </row>
    <row r="331" spans="1:4" x14ac:dyDescent="0.3">
      <c r="A331">
        <v>5.968</v>
      </c>
      <c r="B331">
        <v>9.2899999999999991</v>
      </c>
      <c r="C331">
        <v>20.2</v>
      </c>
      <c r="D331">
        <v>392700</v>
      </c>
    </row>
    <row r="332" spans="1:4" x14ac:dyDescent="0.3">
      <c r="A332">
        <v>7.2409999999999997</v>
      </c>
      <c r="B332">
        <v>5.49</v>
      </c>
      <c r="C332">
        <v>15.5</v>
      </c>
      <c r="D332">
        <v>686700</v>
      </c>
    </row>
    <row r="333" spans="1:4" x14ac:dyDescent="0.3">
      <c r="A333">
        <v>6.54</v>
      </c>
      <c r="B333">
        <v>8.65</v>
      </c>
      <c r="C333">
        <v>15.9</v>
      </c>
      <c r="D333">
        <v>346500</v>
      </c>
    </row>
    <row r="334" spans="1:4" x14ac:dyDescent="0.3">
      <c r="A334">
        <v>6.6959999999999997</v>
      </c>
      <c r="B334">
        <v>7.18</v>
      </c>
      <c r="C334">
        <v>17.600000000000001</v>
      </c>
      <c r="D334">
        <v>501900</v>
      </c>
    </row>
    <row r="335" spans="1:4" x14ac:dyDescent="0.3">
      <c r="A335">
        <v>6.8739999999999997</v>
      </c>
      <c r="B335">
        <v>4.6100000000000003</v>
      </c>
      <c r="C335">
        <v>17.600000000000001</v>
      </c>
      <c r="D335">
        <v>655200</v>
      </c>
    </row>
    <row r="336" spans="1:4" x14ac:dyDescent="0.3">
      <c r="A336">
        <v>6.0140000000000002</v>
      </c>
      <c r="B336">
        <v>10.53</v>
      </c>
      <c r="C336">
        <v>18.8</v>
      </c>
      <c r="D336">
        <v>367500</v>
      </c>
    </row>
    <row r="337" spans="1:4" x14ac:dyDescent="0.3">
      <c r="A337">
        <v>5.8979999999999997</v>
      </c>
      <c r="B337">
        <v>12.67</v>
      </c>
      <c r="C337">
        <v>18.8</v>
      </c>
      <c r="D337">
        <v>361200</v>
      </c>
    </row>
    <row r="338" spans="1:4" x14ac:dyDescent="0.3">
      <c r="A338">
        <v>6.516</v>
      </c>
      <c r="B338">
        <v>6.36</v>
      </c>
      <c r="C338">
        <v>17.899999999999999</v>
      </c>
      <c r="D338">
        <v>485100</v>
      </c>
    </row>
    <row r="339" spans="1:4" x14ac:dyDescent="0.3">
      <c r="A339">
        <v>6.6349999999999998</v>
      </c>
      <c r="B339">
        <v>5.99</v>
      </c>
      <c r="C339">
        <v>17</v>
      </c>
      <c r="D339">
        <v>514500</v>
      </c>
    </row>
    <row r="340" spans="1:4" x14ac:dyDescent="0.3">
      <c r="A340">
        <v>6.9390000000000001</v>
      </c>
      <c r="B340">
        <v>5.89</v>
      </c>
      <c r="C340">
        <v>19.7</v>
      </c>
      <c r="D340">
        <v>558600</v>
      </c>
    </row>
    <row r="341" spans="1:4" x14ac:dyDescent="0.3">
      <c r="A341">
        <v>6.49</v>
      </c>
      <c r="B341">
        <v>5.98</v>
      </c>
      <c r="C341">
        <v>19.7</v>
      </c>
      <c r="D341">
        <v>480900</v>
      </c>
    </row>
    <row r="342" spans="1:4" x14ac:dyDescent="0.3">
      <c r="A342">
        <v>6.5789999999999997</v>
      </c>
      <c r="B342">
        <v>5.49</v>
      </c>
      <c r="C342">
        <v>18.3</v>
      </c>
      <c r="D342">
        <v>506100</v>
      </c>
    </row>
    <row r="343" spans="1:4" x14ac:dyDescent="0.3">
      <c r="A343">
        <v>5.8840000000000003</v>
      </c>
      <c r="B343">
        <v>7.79</v>
      </c>
      <c r="C343">
        <v>18.3</v>
      </c>
      <c r="D343">
        <v>390600</v>
      </c>
    </row>
    <row r="344" spans="1:4" x14ac:dyDescent="0.3">
      <c r="A344">
        <v>6.7279999999999998</v>
      </c>
      <c r="B344">
        <v>4.5</v>
      </c>
      <c r="C344">
        <v>17</v>
      </c>
      <c r="D344">
        <v>632100</v>
      </c>
    </row>
    <row r="345" spans="1:4" x14ac:dyDescent="0.3">
      <c r="A345">
        <v>5.6630000000000003</v>
      </c>
      <c r="B345">
        <v>8.0500000000000007</v>
      </c>
      <c r="C345">
        <v>22</v>
      </c>
      <c r="D345">
        <v>382200</v>
      </c>
    </row>
    <row r="346" spans="1:4" x14ac:dyDescent="0.3">
      <c r="A346">
        <v>5.9359999999999999</v>
      </c>
      <c r="B346">
        <v>5.57</v>
      </c>
      <c r="C346">
        <v>22</v>
      </c>
      <c r="D346">
        <v>432600</v>
      </c>
    </row>
    <row r="347" spans="1:4" x14ac:dyDescent="0.3">
      <c r="A347">
        <v>6.2119999999999997</v>
      </c>
      <c r="B347">
        <v>17.600000000000001</v>
      </c>
      <c r="C347">
        <v>20.2</v>
      </c>
      <c r="D347">
        <v>373800</v>
      </c>
    </row>
    <row r="348" spans="1:4" x14ac:dyDescent="0.3">
      <c r="A348">
        <v>6.3949999999999996</v>
      </c>
      <c r="B348">
        <v>13.27</v>
      </c>
      <c r="C348">
        <v>20.2</v>
      </c>
      <c r="D348">
        <v>455700</v>
      </c>
    </row>
    <row r="349" spans="1:4" x14ac:dyDescent="0.3">
      <c r="A349">
        <v>6.1269999999999998</v>
      </c>
      <c r="B349">
        <v>11.48</v>
      </c>
      <c r="C349">
        <v>20.2</v>
      </c>
      <c r="D349">
        <v>476700</v>
      </c>
    </row>
    <row r="350" spans="1:4" x14ac:dyDescent="0.3">
      <c r="A350">
        <v>6.1120000000000001</v>
      </c>
      <c r="B350">
        <v>12.67</v>
      </c>
      <c r="C350">
        <v>20.2</v>
      </c>
      <c r="D350">
        <v>474600</v>
      </c>
    </row>
    <row r="351" spans="1:4" x14ac:dyDescent="0.3">
      <c r="A351">
        <v>6.3979999999999997</v>
      </c>
      <c r="B351">
        <v>7.79</v>
      </c>
      <c r="C351">
        <v>20.2</v>
      </c>
      <c r="D351">
        <v>525000</v>
      </c>
    </row>
    <row r="352" spans="1:4" x14ac:dyDescent="0.3">
      <c r="A352">
        <v>6.2510000000000003</v>
      </c>
      <c r="B352">
        <v>14.19</v>
      </c>
      <c r="C352">
        <v>20.2</v>
      </c>
      <c r="D352">
        <v>417900</v>
      </c>
    </row>
    <row r="353" spans="1:4" x14ac:dyDescent="0.3">
      <c r="A353">
        <v>5.3620000000000001</v>
      </c>
      <c r="B353">
        <v>10.19</v>
      </c>
      <c r="C353">
        <v>20.2</v>
      </c>
      <c r="D353">
        <v>436800</v>
      </c>
    </row>
    <row r="354" spans="1:4" x14ac:dyDescent="0.3">
      <c r="A354">
        <v>5.8029999999999999</v>
      </c>
      <c r="B354">
        <v>14.64</v>
      </c>
      <c r="C354">
        <v>20.2</v>
      </c>
      <c r="D354">
        <v>352800</v>
      </c>
    </row>
    <row r="355" spans="1:4" x14ac:dyDescent="0.3">
      <c r="A355">
        <v>3.5609999999999999</v>
      </c>
      <c r="B355">
        <v>7.12</v>
      </c>
      <c r="C355">
        <v>20.2</v>
      </c>
      <c r="D355">
        <v>577500</v>
      </c>
    </row>
    <row r="356" spans="1:4" x14ac:dyDescent="0.3">
      <c r="A356">
        <v>4.9630000000000001</v>
      </c>
      <c r="B356">
        <v>14</v>
      </c>
      <c r="C356">
        <v>20.2</v>
      </c>
      <c r="D356">
        <v>459900</v>
      </c>
    </row>
    <row r="357" spans="1:4" x14ac:dyDescent="0.3">
      <c r="A357">
        <v>3.863</v>
      </c>
      <c r="B357">
        <v>13.33</v>
      </c>
      <c r="C357">
        <v>20.2</v>
      </c>
      <c r="D357">
        <v>485100</v>
      </c>
    </row>
    <row r="358" spans="1:4" x14ac:dyDescent="0.3">
      <c r="A358">
        <v>4.9059999999999997</v>
      </c>
      <c r="B358">
        <v>34.770000000000003</v>
      </c>
      <c r="C358">
        <v>20.2</v>
      </c>
      <c r="D358">
        <v>289800</v>
      </c>
    </row>
    <row r="359" spans="1:4" x14ac:dyDescent="0.3">
      <c r="A359">
        <v>4.1379999999999999</v>
      </c>
      <c r="B359">
        <v>37.97</v>
      </c>
      <c r="C359">
        <v>20.2</v>
      </c>
      <c r="D359">
        <v>289800</v>
      </c>
    </row>
    <row r="360" spans="1:4" x14ac:dyDescent="0.3">
      <c r="A360">
        <v>7.3129999999999997</v>
      </c>
      <c r="B360">
        <v>13.44</v>
      </c>
      <c r="C360">
        <v>20.2</v>
      </c>
      <c r="D360">
        <v>315000</v>
      </c>
    </row>
    <row r="361" spans="1:4" x14ac:dyDescent="0.3">
      <c r="A361">
        <v>6.649</v>
      </c>
      <c r="B361">
        <v>23.24</v>
      </c>
      <c r="C361">
        <v>20.2</v>
      </c>
      <c r="D361">
        <v>291900</v>
      </c>
    </row>
    <row r="362" spans="1:4" x14ac:dyDescent="0.3">
      <c r="A362">
        <v>6.7939999999999996</v>
      </c>
      <c r="B362">
        <v>21.24</v>
      </c>
      <c r="C362">
        <v>20.2</v>
      </c>
      <c r="D362">
        <v>279300</v>
      </c>
    </row>
    <row r="363" spans="1:4" x14ac:dyDescent="0.3">
      <c r="A363">
        <v>6.38</v>
      </c>
      <c r="B363">
        <v>23.69</v>
      </c>
      <c r="C363">
        <v>20.2</v>
      </c>
      <c r="D363">
        <v>275100</v>
      </c>
    </row>
    <row r="364" spans="1:4" x14ac:dyDescent="0.3">
      <c r="A364">
        <v>6.2229999999999999</v>
      </c>
      <c r="B364">
        <v>21.78</v>
      </c>
      <c r="C364">
        <v>20.2</v>
      </c>
      <c r="D364">
        <v>214200</v>
      </c>
    </row>
    <row r="365" spans="1:4" x14ac:dyDescent="0.3">
      <c r="A365">
        <v>6.968</v>
      </c>
      <c r="B365">
        <v>17.21</v>
      </c>
      <c r="C365">
        <v>20.2</v>
      </c>
      <c r="D365">
        <v>218400</v>
      </c>
    </row>
    <row r="366" spans="1:4" x14ac:dyDescent="0.3">
      <c r="A366">
        <v>6.5449999999999999</v>
      </c>
      <c r="B366">
        <v>21.08</v>
      </c>
      <c r="C366">
        <v>20.2</v>
      </c>
      <c r="D366">
        <v>228900</v>
      </c>
    </row>
    <row r="367" spans="1:4" x14ac:dyDescent="0.3">
      <c r="A367">
        <v>5.5359999999999996</v>
      </c>
      <c r="B367">
        <v>23.6</v>
      </c>
      <c r="C367">
        <v>20.2</v>
      </c>
      <c r="D367">
        <v>237300</v>
      </c>
    </row>
    <row r="368" spans="1:4" x14ac:dyDescent="0.3">
      <c r="A368">
        <v>5.52</v>
      </c>
      <c r="B368">
        <v>24.56</v>
      </c>
      <c r="C368">
        <v>20.2</v>
      </c>
      <c r="D368">
        <v>258300</v>
      </c>
    </row>
    <row r="369" spans="1:4" x14ac:dyDescent="0.3">
      <c r="A369">
        <v>4.3680000000000003</v>
      </c>
      <c r="B369">
        <v>30.63</v>
      </c>
      <c r="C369">
        <v>20.2</v>
      </c>
      <c r="D369">
        <v>184800</v>
      </c>
    </row>
    <row r="370" spans="1:4" x14ac:dyDescent="0.3">
      <c r="A370">
        <v>5.2770000000000001</v>
      </c>
      <c r="B370">
        <v>30.81</v>
      </c>
      <c r="C370">
        <v>20.2</v>
      </c>
      <c r="D370">
        <v>151200</v>
      </c>
    </row>
    <row r="371" spans="1:4" x14ac:dyDescent="0.3">
      <c r="A371">
        <v>4.6520000000000001</v>
      </c>
      <c r="B371">
        <v>28.28</v>
      </c>
      <c r="C371">
        <v>20.2</v>
      </c>
      <c r="D371">
        <v>220500</v>
      </c>
    </row>
    <row r="372" spans="1:4" x14ac:dyDescent="0.3">
      <c r="A372">
        <v>5</v>
      </c>
      <c r="B372">
        <v>31.99</v>
      </c>
      <c r="C372">
        <v>20.2</v>
      </c>
      <c r="D372">
        <v>155400</v>
      </c>
    </row>
    <row r="373" spans="1:4" x14ac:dyDescent="0.3">
      <c r="A373">
        <v>4.88</v>
      </c>
      <c r="B373">
        <v>30.62</v>
      </c>
      <c r="C373">
        <v>20.2</v>
      </c>
      <c r="D373">
        <v>214200</v>
      </c>
    </row>
    <row r="374" spans="1:4" x14ac:dyDescent="0.3">
      <c r="A374">
        <v>5.39</v>
      </c>
      <c r="B374">
        <v>20.85</v>
      </c>
      <c r="C374">
        <v>20.2</v>
      </c>
      <c r="D374">
        <v>241500</v>
      </c>
    </row>
    <row r="375" spans="1:4" x14ac:dyDescent="0.3">
      <c r="A375">
        <v>5.7130000000000001</v>
      </c>
      <c r="B375">
        <v>17.11</v>
      </c>
      <c r="C375">
        <v>20.2</v>
      </c>
      <c r="D375">
        <v>317100</v>
      </c>
    </row>
    <row r="376" spans="1:4" x14ac:dyDescent="0.3">
      <c r="A376">
        <v>6.0510000000000002</v>
      </c>
      <c r="B376">
        <v>18.760000000000002</v>
      </c>
      <c r="C376">
        <v>20.2</v>
      </c>
      <c r="D376">
        <v>487200</v>
      </c>
    </row>
    <row r="377" spans="1:4" x14ac:dyDescent="0.3">
      <c r="A377">
        <v>5.0359999999999996</v>
      </c>
      <c r="B377">
        <v>25.68</v>
      </c>
      <c r="C377">
        <v>20.2</v>
      </c>
      <c r="D377">
        <v>203700</v>
      </c>
    </row>
    <row r="378" spans="1:4" x14ac:dyDescent="0.3">
      <c r="A378">
        <v>6.1929999999999996</v>
      </c>
      <c r="B378">
        <v>15.17</v>
      </c>
      <c r="C378">
        <v>20.2</v>
      </c>
      <c r="D378">
        <v>289800</v>
      </c>
    </row>
    <row r="379" spans="1:4" x14ac:dyDescent="0.3">
      <c r="A379">
        <v>5.8869999999999996</v>
      </c>
      <c r="B379">
        <v>16.350000000000001</v>
      </c>
      <c r="C379">
        <v>20.2</v>
      </c>
      <c r="D379">
        <v>266700</v>
      </c>
    </row>
    <row r="380" spans="1:4" x14ac:dyDescent="0.3">
      <c r="A380">
        <v>6.4710000000000001</v>
      </c>
      <c r="B380">
        <v>17.12</v>
      </c>
      <c r="C380">
        <v>20.2</v>
      </c>
      <c r="D380">
        <v>275100</v>
      </c>
    </row>
    <row r="381" spans="1:4" x14ac:dyDescent="0.3">
      <c r="A381">
        <v>6.4050000000000002</v>
      </c>
      <c r="B381">
        <v>19.37</v>
      </c>
      <c r="C381">
        <v>20.2</v>
      </c>
      <c r="D381">
        <v>262500</v>
      </c>
    </row>
    <row r="382" spans="1:4" x14ac:dyDescent="0.3">
      <c r="A382">
        <v>5.7469999999999999</v>
      </c>
      <c r="B382">
        <v>19.920000000000002</v>
      </c>
      <c r="C382">
        <v>20.2</v>
      </c>
      <c r="D382">
        <v>178500</v>
      </c>
    </row>
    <row r="383" spans="1:4" x14ac:dyDescent="0.3">
      <c r="A383">
        <v>5.4530000000000003</v>
      </c>
      <c r="B383">
        <v>30.59</v>
      </c>
      <c r="C383">
        <v>20.2</v>
      </c>
      <c r="D383">
        <v>105000</v>
      </c>
    </row>
    <row r="384" spans="1:4" x14ac:dyDescent="0.3">
      <c r="A384">
        <v>5.8520000000000003</v>
      </c>
      <c r="B384">
        <v>29.97</v>
      </c>
      <c r="C384">
        <v>20.2</v>
      </c>
      <c r="D384">
        <v>132300</v>
      </c>
    </row>
    <row r="385" spans="1:4" x14ac:dyDescent="0.3">
      <c r="A385">
        <v>5.9870000000000001</v>
      </c>
      <c r="B385">
        <v>26.77</v>
      </c>
      <c r="C385">
        <v>20.2</v>
      </c>
      <c r="D385">
        <v>117600</v>
      </c>
    </row>
    <row r="386" spans="1:4" x14ac:dyDescent="0.3">
      <c r="A386">
        <v>6.343</v>
      </c>
      <c r="B386">
        <v>20.32</v>
      </c>
      <c r="C386">
        <v>20.2</v>
      </c>
      <c r="D386">
        <v>151200</v>
      </c>
    </row>
    <row r="387" spans="1:4" x14ac:dyDescent="0.3">
      <c r="A387">
        <v>6.4039999999999999</v>
      </c>
      <c r="B387">
        <v>20.309999999999999</v>
      </c>
      <c r="C387">
        <v>20.2</v>
      </c>
      <c r="D387">
        <v>254100</v>
      </c>
    </row>
    <row r="388" spans="1:4" x14ac:dyDescent="0.3">
      <c r="A388">
        <v>5.3490000000000002</v>
      </c>
      <c r="B388">
        <v>19.77</v>
      </c>
      <c r="C388">
        <v>20.2</v>
      </c>
      <c r="D388">
        <v>174300</v>
      </c>
    </row>
    <row r="389" spans="1:4" x14ac:dyDescent="0.3">
      <c r="A389">
        <v>5.5309999999999997</v>
      </c>
      <c r="B389">
        <v>27.38</v>
      </c>
      <c r="C389">
        <v>20.2</v>
      </c>
      <c r="D389">
        <v>178500</v>
      </c>
    </row>
    <row r="390" spans="1:4" x14ac:dyDescent="0.3">
      <c r="A390">
        <v>5.6829999999999998</v>
      </c>
      <c r="B390">
        <v>22.98</v>
      </c>
      <c r="C390">
        <v>20.2</v>
      </c>
      <c r="D390">
        <v>105000</v>
      </c>
    </row>
    <row r="391" spans="1:4" x14ac:dyDescent="0.3">
      <c r="A391">
        <v>4.1379999999999999</v>
      </c>
      <c r="B391">
        <v>23.34</v>
      </c>
      <c r="C391">
        <v>20.2</v>
      </c>
      <c r="D391">
        <v>249900</v>
      </c>
    </row>
    <row r="392" spans="1:4" x14ac:dyDescent="0.3">
      <c r="A392">
        <v>5.6079999999999997</v>
      </c>
      <c r="B392">
        <v>12.13</v>
      </c>
      <c r="C392">
        <v>20.2</v>
      </c>
      <c r="D392">
        <v>585900</v>
      </c>
    </row>
    <row r="393" spans="1:4" x14ac:dyDescent="0.3">
      <c r="A393">
        <v>5.617</v>
      </c>
      <c r="B393">
        <v>26.4</v>
      </c>
      <c r="C393">
        <v>20.2</v>
      </c>
      <c r="D393">
        <v>361200</v>
      </c>
    </row>
    <row r="394" spans="1:4" x14ac:dyDescent="0.3">
      <c r="A394">
        <v>6.8520000000000003</v>
      </c>
      <c r="B394">
        <v>19.78</v>
      </c>
      <c r="C394">
        <v>20.2</v>
      </c>
      <c r="D394">
        <v>577500</v>
      </c>
    </row>
    <row r="395" spans="1:4" x14ac:dyDescent="0.3">
      <c r="A395">
        <v>5.7569999999999997</v>
      </c>
      <c r="B395">
        <v>10.11</v>
      </c>
      <c r="C395">
        <v>20.2</v>
      </c>
      <c r="D395">
        <v>315000</v>
      </c>
    </row>
    <row r="396" spans="1:4" x14ac:dyDescent="0.3">
      <c r="A396">
        <v>6.657</v>
      </c>
      <c r="B396">
        <v>21.22</v>
      </c>
      <c r="C396">
        <v>20.2</v>
      </c>
      <c r="D396">
        <v>361200</v>
      </c>
    </row>
    <row r="397" spans="1:4" x14ac:dyDescent="0.3">
      <c r="A397">
        <v>4.6280000000000001</v>
      </c>
      <c r="B397">
        <v>34.369999999999997</v>
      </c>
      <c r="C397">
        <v>20.2</v>
      </c>
      <c r="D397">
        <v>375900</v>
      </c>
    </row>
    <row r="398" spans="1:4" x14ac:dyDescent="0.3">
      <c r="A398">
        <v>5.1550000000000002</v>
      </c>
      <c r="B398">
        <v>20.079999999999998</v>
      </c>
      <c r="C398">
        <v>20.2</v>
      </c>
      <c r="D398">
        <v>342300</v>
      </c>
    </row>
    <row r="399" spans="1:4" x14ac:dyDescent="0.3">
      <c r="A399">
        <v>4.5190000000000001</v>
      </c>
      <c r="B399">
        <v>36.979999999999997</v>
      </c>
      <c r="C399">
        <v>20.2</v>
      </c>
      <c r="D399">
        <v>147000</v>
      </c>
    </row>
    <row r="400" spans="1:4" x14ac:dyDescent="0.3">
      <c r="A400">
        <v>6.4340000000000002</v>
      </c>
      <c r="B400">
        <v>29.05</v>
      </c>
      <c r="C400">
        <v>20.2</v>
      </c>
      <c r="D400">
        <v>151200</v>
      </c>
    </row>
    <row r="401" spans="1:4" x14ac:dyDescent="0.3">
      <c r="A401">
        <v>6.782</v>
      </c>
      <c r="B401">
        <v>25.79</v>
      </c>
      <c r="C401">
        <v>20.2</v>
      </c>
      <c r="D401">
        <v>157500</v>
      </c>
    </row>
    <row r="402" spans="1:4" x14ac:dyDescent="0.3">
      <c r="A402">
        <v>5.3040000000000003</v>
      </c>
      <c r="B402">
        <v>26.64</v>
      </c>
      <c r="C402">
        <v>20.2</v>
      </c>
      <c r="D402">
        <v>218400</v>
      </c>
    </row>
    <row r="403" spans="1:4" x14ac:dyDescent="0.3">
      <c r="A403">
        <v>5.9569999999999999</v>
      </c>
      <c r="B403">
        <v>20.62</v>
      </c>
      <c r="C403">
        <v>20.2</v>
      </c>
      <c r="D403">
        <v>184800</v>
      </c>
    </row>
    <row r="404" spans="1:4" x14ac:dyDescent="0.3">
      <c r="A404">
        <v>6.8239999999999998</v>
      </c>
      <c r="B404">
        <v>22.74</v>
      </c>
      <c r="C404">
        <v>20.2</v>
      </c>
      <c r="D404">
        <v>176400</v>
      </c>
    </row>
    <row r="405" spans="1:4" x14ac:dyDescent="0.3">
      <c r="A405">
        <v>6.4109999999999996</v>
      </c>
      <c r="B405">
        <v>15.02</v>
      </c>
      <c r="C405">
        <v>20.2</v>
      </c>
      <c r="D405">
        <v>350700</v>
      </c>
    </row>
    <row r="406" spans="1:4" x14ac:dyDescent="0.3">
      <c r="A406">
        <v>6.0060000000000002</v>
      </c>
      <c r="B406">
        <v>15.7</v>
      </c>
      <c r="C406">
        <v>20.2</v>
      </c>
      <c r="D406">
        <v>298200</v>
      </c>
    </row>
    <row r="407" spans="1:4" x14ac:dyDescent="0.3">
      <c r="A407">
        <v>5.6479999999999997</v>
      </c>
      <c r="B407">
        <v>14.1</v>
      </c>
      <c r="C407">
        <v>20.2</v>
      </c>
      <c r="D407">
        <v>436800</v>
      </c>
    </row>
    <row r="408" spans="1:4" x14ac:dyDescent="0.3">
      <c r="A408">
        <v>6.1029999999999998</v>
      </c>
      <c r="B408">
        <v>23.29</v>
      </c>
      <c r="C408">
        <v>20.2</v>
      </c>
      <c r="D408">
        <v>281400</v>
      </c>
    </row>
    <row r="409" spans="1:4" x14ac:dyDescent="0.3">
      <c r="A409">
        <v>5.5650000000000004</v>
      </c>
      <c r="B409">
        <v>17.16</v>
      </c>
      <c r="C409">
        <v>20.2</v>
      </c>
      <c r="D409">
        <v>245700</v>
      </c>
    </row>
    <row r="410" spans="1:4" x14ac:dyDescent="0.3">
      <c r="A410">
        <v>5.8959999999999999</v>
      </c>
      <c r="B410">
        <v>24.39</v>
      </c>
      <c r="C410">
        <v>20.2</v>
      </c>
      <c r="D410">
        <v>174300</v>
      </c>
    </row>
    <row r="411" spans="1:4" x14ac:dyDescent="0.3">
      <c r="A411">
        <v>5.8369999999999997</v>
      </c>
      <c r="B411">
        <v>15.69</v>
      </c>
      <c r="C411">
        <v>20.2</v>
      </c>
      <c r="D411">
        <v>214200</v>
      </c>
    </row>
    <row r="412" spans="1:4" x14ac:dyDescent="0.3">
      <c r="A412">
        <v>6.202</v>
      </c>
      <c r="B412">
        <v>14.52</v>
      </c>
      <c r="C412">
        <v>20.2</v>
      </c>
      <c r="D412">
        <v>228900</v>
      </c>
    </row>
    <row r="413" spans="1:4" x14ac:dyDescent="0.3">
      <c r="A413">
        <v>6.1929999999999996</v>
      </c>
      <c r="B413">
        <v>21.52</v>
      </c>
      <c r="C413">
        <v>20.2</v>
      </c>
      <c r="D413">
        <v>231000</v>
      </c>
    </row>
    <row r="414" spans="1:4" x14ac:dyDescent="0.3">
      <c r="A414">
        <v>6.38</v>
      </c>
      <c r="B414">
        <v>24.08</v>
      </c>
      <c r="C414">
        <v>20.2</v>
      </c>
      <c r="D414">
        <v>199500</v>
      </c>
    </row>
    <row r="415" spans="1:4" x14ac:dyDescent="0.3">
      <c r="A415">
        <v>6.3479999999999999</v>
      </c>
      <c r="B415">
        <v>17.64</v>
      </c>
      <c r="C415">
        <v>20.2</v>
      </c>
      <c r="D415">
        <v>304500</v>
      </c>
    </row>
    <row r="416" spans="1:4" x14ac:dyDescent="0.3">
      <c r="A416">
        <v>6.8330000000000002</v>
      </c>
      <c r="B416">
        <v>19.690000000000001</v>
      </c>
      <c r="C416">
        <v>20.2</v>
      </c>
      <c r="D416">
        <v>296100</v>
      </c>
    </row>
    <row r="417" spans="1:4" x14ac:dyDescent="0.3">
      <c r="A417">
        <v>6.4249999999999998</v>
      </c>
      <c r="B417">
        <v>12.03</v>
      </c>
      <c r="C417">
        <v>20.2</v>
      </c>
      <c r="D417">
        <v>338100</v>
      </c>
    </row>
    <row r="418" spans="1:4" x14ac:dyDescent="0.3">
      <c r="A418">
        <v>6.4359999999999999</v>
      </c>
      <c r="B418">
        <v>16.22</v>
      </c>
      <c r="C418">
        <v>20.2</v>
      </c>
      <c r="D418">
        <v>300300</v>
      </c>
    </row>
    <row r="419" spans="1:4" x14ac:dyDescent="0.3">
      <c r="A419">
        <v>6.2080000000000002</v>
      </c>
      <c r="B419">
        <v>15.17</v>
      </c>
      <c r="C419">
        <v>20.2</v>
      </c>
      <c r="D419">
        <v>245700</v>
      </c>
    </row>
    <row r="420" spans="1:4" x14ac:dyDescent="0.3">
      <c r="A420">
        <v>6.6289999999999996</v>
      </c>
      <c r="B420">
        <v>23.27</v>
      </c>
      <c r="C420">
        <v>20.2</v>
      </c>
      <c r="D420">
        <v>281400</v>
      </c>
    </row>
    <row r="421" spans="1:4" x14ac:dyDescent="0.3">
      <c r="A421">
        <v>6.4610000000000003</v>
      </c>
      <c r="B421">
        <v>18.05</v>
      </c>
      <c r="C421">
        <v>20.2</v>
      </c>
      <c r="D421">
        <v>201600</v>
      </c>
    </row>
    <row r="422" spans="1:4" x14ac:dyDescent="0.3">
      <c r="A422">
        <v>6.1520000000000001</v>
      </c>
      <c r="B422">
        <v>26.45</v>
      </c>
      <c r="C422">
        <v>20.2</v>
      </c>
      <c r="D422">
        <v>182700</v>
      </c>
    </row>
    <row r="423" spans="1:4" x14ac:dyDescent="0.3">
      <c r="A423">
        <v>5.9349999999999996</v>
      </c>
      <c r="B423">
        <v>34.020000000000003</v>
      </c>
      <c r="C423">
        <v>20.2</v>
      </c>
      <c r="D423">
        <v>176400</v>
      </c>
    </row>
    <row r="424" spans="1:4" x14ac:dyDescent="0.3">
      <c r="A424">
        <v>5.6269999999999998</v>
      </c>
      <c r="B424">
        <v>22.88</v>
      </c>
      <c r="C424">
        <v>20.2</v>
      </c>
      <c r="D424">
        <v>268800</v>
      </c>
    </row>
    <row r="425" spans="1:4" x14ac:dyDescent="0.3">
      <c r="A425">
        <v>5.8179999999999996</v>
      </c>
      <c r="B425">
        <v>22.11</v>
      </c>
      <c r="C425">
        <v>20.2</v>
      </c>
      <c r="D425">
        <v>220500</v>
      </c>
    </row>
    <row r="426" spans="1:4" x14ac:dyDescent="0.3">
      <c r="A426">
        <v>6.4059999999999997</v>
      </c>
      <c r="B426">
        <v>19.52</v>
      </c>
      <c r="C426">
        <v>20.2</v>
      </c>
      <c r="D426">
        <v>359100</v>
      </c>
    </row>
    <row r="427" spans="1:4" x14ac:dyDescent="0.3">
      <c r="A427">
        <v>6.2190000000000003</v>
      </c>
      <c r="B427">
        <v>16.59</v>
      </c>
      <c r="C427">
        <v>20.2</v>
      </c>
      <c r="D427">
        <v>386400</v>
      </c>
    </row>
    <row r="428" spans="1:4" x14ac:dyDescent="0.3">
      <c r="A428">
        <v>6.4850000000000003</v>
      </c>
      <c r="B428">
        <v>18.850000000000001</v>
      </c>
      <c r="C428">
        <v>20.2</v>
      </c>
      <c r="D428">
        <v>323400</v>
      </c>
    </row>
    <row r="429" spans="1:4" x14ac:dyDescent="0.3">
      <c r="A429">
        <v>5.8540000000000001</v>
      </c>
      <c r="B429">
        <v>23.79</v>
      </c>
      <c r="C429">
        <v>20.2</v>
      </c>
      <c r="D429">
        <v>226800</v>
      </c>
    </row>
    <row r="430" spans="1:4" x14ac:dyDescent="0.3">
      <c r="A430">
        <v>6.4589999999999996</v>
      </c>
      <c r="B430">
        <v>23.98</v>
      </c>
      <c r="C430">
        <v>20.2</v>
      </c>
      <c r="D430">
        <v>247800</v>
      </c>
    </row>
    <row r="431" spans="1:4" x14ac:dyDescent="0.3">
      <c r="A431">
        <v>6.3410000000000002</v>
      </c>
      <c r="B431">
        <v>17.79</v>
      </c>
      <c r="C431">
        <v>20.2</v>
      </c>
      <c r="D431">
        <v>312900</v>
      </c>
    </row>
    <row r="432" spans="1:4" x14ac:dyDescent="0.3">
      <c r="A432">
        <v>6.2510000000000003</v>
      </c>
      <c r="B432">
        <v>16.440000000000001</v>
      </c>
      <c r="C432">
        <v>20.2</v>
      </c>
      <c r="D432">
        <v>264600</v>
      </c>
    </row>
    <row r="433" spans="1:4" x14ac:dyDescent="0.3">
      <c r="A433">
        <v>6.1849999999999996</v>
      </c>
      <c r="B433">
        <v>18.13</v>
      </c>
      <c r="C433">
        <v>20.2</v>
      </c>
      <c r="D433">
        <v>296100</v>
      </c>
    </row>
    <row r="434" spans="1:4" x14ac:dyDescent="0.3">
      <c r="A434">
        <v>6.4169999999999998</v>
      </c>
      <c r="B434">
        <v>19.309999999999999</v>
      </c>
      <c r="C434">
        <v>20.2</v>
      </c>
      <c r="D434">
        <v>273000</v>
      </c>
    </row>
    <row r="435" spans="1:4" x14ac:dyDescent="0.3">
      <c r="A435">
        <v>6.7489999999999997</v>
      </c>
      <c r="B435">
        <v>17.440000000000001</v>
      </c>
      <c r="C435">
        <v>20.2</v>
      </c>
      <c r="D435">
        <v>281400</v>
      </c>
    </row>
    <row r="436" spans="1:4" x14ac:dyDescent="0.3">
      <c r="A436">
        <v>6.6550000000000002</v>
      </c>
      <c r="B436">
        <v>17.73</v>
      </c>
      <c r="C436">
        <v>20.2</v>
      </c>
      <c r="D436">
        <v>319200</v>
      </c>
    </row>
    <row r="437" spans="1:4" x14ac:dyDescent="0.3">
      <c r="A437">
        <v>6.2969999999999997</v>
      </c>
      <c r="B437">
        <v>17.27</v>
      </c>
      <c r="C437">
        <v>20.2</v>
      </c>
      <c r="D437">
        <v>338100</v>
      </c>
    </row>
    <row r="438" spans="1:4" x14ac:dyDescent="0.3">
      <c r="A438">
        <v>7.3929999999999998</v>
      </c>
      <c r="B438">
        <v>16.739999999999998</v>
      </c>
      <c r="C438">
        <v>20.2</v>
      </c>
      <c r="D438">
        <v>373800</v>
      </c>
    </row>
    <row r="439" spans="1:4" x14ac:dyDescent="0.3">
      <c r="A439">
        <v>6.7279999999999998</v>
      </c>
      <c r="B439">
        <v>18.71</v>
      </c>
      <c r="C439">
        <v>20.2</v>
      </c>
      <c r="D439">
        <v>312900</v>
      </c>
    </row>
    <row r="440" spans="1:4" x14ac:dyDescent="0.3">
      <c r="A440">
        <v>6.5250000000000004</v>
      </c>
      <c r="B440">
        <v>18.13</v>
      </c>
      <c r="C440">
        <v>20.2</v>
      </c>
      <c r="D440">
        <v>296100</v>
      </c>
    </row>
    <row r="441" spans="1:4" x14ac:dyDescent="0.3">
      <c r="A441">
        <v>5.976</v>
      </c>
      <c r="B441">
        <v>19.010000000000002</v>
      </c>
      <c r="C441">
        <v>20.2</v>
      </c>
      <c r="D441">
        <v>266700</v>
      </c>
    </row>
    <row r="442" spans="1:4" x14ac:dyDescent="0.3">
      <c r="A442">
        <v>5.9359999999999999</v>
      </c>
      <c r="B442">
        <v>16.940000000000001</v>
      </c>
      <c r="C442">
        <v>20.2</v>
      </c>
      <c r="D442">
        <v>283500</v>
      </c>
    </row>
    <row r="443" spans="1:4" x14ac:dyDescent="0.3">
      <c r="A443">
        <v>6.3010000000000002</v>
      </c>
      <c r="B443">
        <v>16.23</v>
      </c>
      <c r="C443">
        <v>20.2</v>
      </c>
      <c r="D443">
        <v>312900</v>
      </c>
    </row>
    <row r="444" spans="1:4" x14ac:dyDescent="0.3">
      <c r="A444">
        <v>6.0810000000000004</v>
      </c>
      <c r="B444">
        <v>14.7</v>
      </c>
      <c r="C444">
        <v>20.2</v>
      </c>
      <c r="D444">
        <v>420000</v>
      </c>
    </row>
    <row r="445" spans="1:4" x14ac:dyDescent="0.3">
      <c r="A445">
        <v>6.7009999999999996</v>
      </c>
      <c r="B445">
        <v>16.420000000000002</v>
      </c>
      <c r="C445">
        <v>20.2</v>
      </c>
      <c r="D445">
        <v>344400</v>
      </c>
    </row>
    <row r="446" spans="1:4" x14ac:dyDescent="0.3">
      <c r="A446">
        <v>6.3760000000000003</v>
      </c>
      <c r="B446">
        <v>14.65</v>
      </c>
      <c r="C446">
        <v>20.2</v>
      </c>
      <c r="D446">
        <v>371700</v>
      </c>
    </row>
    <row r="447" spans="1:4" x14ac:dyDescent="0.3">
      <c r="A447">
        <v>6.3170000000000002</v>
      </c>
      <c r="B447">
        <v>13.99</v>
      </c>
      <c r="C447">
        <v>20.2</v>
      </c>
      <c r="D447">
        <v>409500</v>
      </c>
    </row>
    <row r="448" spans="1:4" x14ac:dyDescent="0.3">
      <c r="A448">
        <v>6.5129999999999999</v>
      </c>
      <c r="B448">
        <v>10.29</v>
      </c>
      <c r="C448">
        <v>20.2</v>
      </c>
      <c r="D448">
        <v>424200</v>
      </c>
    </row>
    <row r="449" spans="1:4" x14ac:dyDescent="0.3">
      <c r="A449">
        <v>6.2089999999999996</v>
      </c>
      <c r="B449">
        <v>13.22</v>
      </c>
      <c r="C449">
        <v>20.2</v>
      </c>
      <c r="D449">
        <v>449400</v>
      </c>
    </row>
    <row r="450" spans="1:4" x14ac:dyDescent="0.3">
      <c r="A450">
        <v>5.7590000000000003</v>
      </c>
      <c r="B450">
        <v>14.13</v>
      </c>
      <c r="C450">
        <v>20.2</v>
      </c>
      <c r="D450">
        <v>417900</v>
      </c>
    </row>
    <row r="451" spans="1:4" x14ac:dyDescent="0.3">
      <c r="A451">
        <v>5.952</v>
      </c>
      <c r="B451">
        <v>17.149999999999999</v>
      </c>
      <c r="C451">
        <v>20.2</v>
      </c>
      <c r="D451">
        <v>399000</v>
      </c>
    </row>
    <row r="452" spans="1:4" x14ac:dyDescent="0.3">
      <c r="A452">
        <v>6.0030000000000001</v>
      </c>
      <c r="B452">
        <v>21.32</v>
      </c>
      <c r="C452">
        <v>20.2</v>
      </c>
      <c r="D452">
        <v>401100</v>
      </c>
    </row>
    <row r="453" spans="1:4" x14ac:dyDescent="0.3">
      <c r="A453">
        <v>5.9260000000000002</v>
      </c>
      <c r="B453">
        <v>18.13</v>
      </c>
      <c r="C453">
        <v>20.2</v>
      </c>
      <c r="D453">
        <v>401100</v>
      </c>
    </row>
    <row r="454" spans="1:4" x14ac:dyDescent="0.3">
      <c r="A454">
        <v>5.7130000000000001</v>
      </c>
      <c r="B454">
        <v>14.76</v>
      </c>
      <c r="C454">
        <v>20.2</v>
      </c>
      <c r="D454">
        <v>422100</v>
      </c>
    </row>
    <row r="455" spans="1:4" x14ac:dyDescent="0.3">
      <c r="A455">
        <v>6.1669999999999998</v>
      </c>
      <c r="B455">
        <v>16.29</v>
      </c>
      <c r="C455">
        <v>20.2</v>
      </c>
      <c r="D455">
        <v>417900</v>
      </c>
    </row>
    <row r="456" spans="1:4" x14ac:dyDescent="0.3">
      <c r="A456">
        <v>6.2290000000000001</v>
      </c>
      <c r="B456">
        <v>12.87</v>
      </c>
      <c r="C456">
        <v>20.2</v>
      </c>
      <c r="D456">
        <v>411600</v>
      </c>
    </row>
    <row r="457" spans="1:4" x14ac:dyDescent="0.3">
      <c r="A457">
        <v>6.4370000000000003</v>
      </c>
      <c r="B457">
        <v>14.36</v>
      </c>
      <c r="C457">
        <v>20.2</v>
      </c>
      <c r="D457">
        <v>487200</v>
      </c>
    </row>
    <row r="458" spans="1:4" x14ac:dyDescent="0.3">
      <c r="A458">
        <v>6.98</v>
      </c>
      <c r="B458">
        <v>11.66</v>
      </c>
      <c r="C458">
        <v>20.2</v>
      </c>
      <c r="D458">
        <v>625800</v>
      </c>
    </row>
    <row r="459" spans="1:4" x14ac:dyDescent="0.3">
      <c r="A459">
        <v>5.4269999999999996</v>
      </c>
      <c r="B459">
        <v>18.14</v>
      </c>
      <c r="C459">
        <v>20.2</v>
      </c>
      <c r="D459">
        <v>289800</v>
      </c>
    </row>
    <row r="460" spans="1:4" x14ac:dyDescent="0.3">
      <c r="A460">
        <v>6.1619999999999999</v>
      </c>
      <c r="B460">
        <v>24.1</v>
      </c>
      <c r="C460">
        <v>20.2</v>
      </c>
      <c r="D460">
        <v>279300</v>
      </c>
    </row>
    <row r="461" spans="1:4" x14ac:dyDescent="0.3">
      <c r="A461">
        <v>6.484</v>
      </c>
      <c r="B461">
        <v>18.68</v>
      </c>
      <c r="C461">
        <v>20.2</v>
      </c>
      <c r="D461">
        <v>350700</v>
      </c>
    </row>
    <row r="462" spans="1:4" x14ac:dyDescent="0.3">
      <c r="A462">
        <v>5.3040000000000003</v>
      </c>
      <c r="B462">
        <v>24.91</v>
      </c>
      <c r="C462">
        <v>20.2</v>
      </c>
      <c r="D462">
        <v>252000</v>
      </c>
    </row>
    <row r="463" spans="1:4" x14ac:dyDescent="0.3">
      <c r="A463">
        <v>6.1849999999999996</v>
      </c>
      <c r="B463">
        <v>18.03</v>
      </c>
      <c r="C463">
        <v>20.2</v>
      </c>
      <c r="D463">
        <v>306600</v>
      </c>
    </row>
    <row r="464" spans="1:4" x14ac:dyDescent="0.3">
      <c r="A464">
        <v>6.2290000000000001</v>
      </c>
      <c r="B464">
        <v>13.11</v>
      </c>
      <c r="C464">
        <v>20.2</v>
      </c>
      <c r="D464">
        <v>449400</v>
      </c>
    </row>
    <row r="465" spans="1:4" x14ac:dyDescent="0.3">
      <c r="A465">
        <v>6.242</v>
      </c>
      <c r="B465">
        <v>10.74</v>
      </c>
      <c r="C465">
        <v>20.2</v>
      </c>
      <c r="D465">
        <v>483000</v>
      </c>
    </row>
    <row r="466" spans="1:4" x14ac:dyDescent="0.3">
      <c r="A466">
        <v>6.75</v>
      </c>
      <c r="B466">
        <v>7.74</v>
      </c>
      <c r="C466">
        <v>20.2</v>
      </c>
      <c r="D466">
        <v>497700</v>
      </c>
    </row>
    <row r="467" spans="1:4" x14ac:dyDescent="0.3">
      <c r="A467">
        <v>7.0609999999999999</v>
      </c>
      <c r="B467">
        <v>7.01</v>
      </c>
      <c r="C467">
        <v>20.2</v>
      </c>
      <c r="D467">
        <v>525000</v>
      </c>
    </row>
    <row r="468" spans="1:4" x14ac:dyDescent="0.3">
      <c r="A468">
        <v>5.7619999999999996</v>
      </c>
      <c r="B468">
        <v>10.42</v>
      </c>
      <c r="C468">
        <v>20.2</v>
      </c>
      <c r="D468">
        <v>457800</v>
      </c>
    </row>
    <row r="469" spans="1:4" x14ac:dyDescent="0.3">
      <c r="A469">
        <v>5.8710000000000004</v>
      </c>
      <c r="B469">
        <v>13.34</v>
      </c>
      <c r="C469">
        <v>20.2</v>
      </c>
      <c r="D469">
        <v>432600</v>
      </c>
    </row>
    <row r="470" spans="1:4" x14ac:dyDescent="0.3">
      <c r="A470">
        <v>6.3120000000000003</v>
      </c>
      <c r="B470">
        <v>10.58</v>
      </c>
      <c r="C470">
        <v>20.2</v>
      </c>
      <c r="D470">
        <v>445200</v>
      </c>
    </row>
    <row r="471" spans="1:4" x14ac:dyDescent="0.3">
      <c r="A471">
        <v>6.1139999999999999</v>
      </c>
      <c r="B471">
        <v>14.98</v>
      </c>
      <c r="C471">
        <v>20.2</v>
      </c>
      <c r="D471">
        <v>401100</v>
      </c>
    </row>
    <row r="472" spans="1:4" x14ac:dyDescent="0.3">
      <c r="A472">
        <v>5.9050000000000002</v>
      </c>
      <c r="B472">
        <v>11.45</v>
      </c>
      <c r="C472">
        <v>20.2</v>
      </c>
      <c r="D472">
        <v>432600</v>
      </c>
    </row>
    <row r="473" spans="1:4" x14ac:dyDescent="0.3">
      <c r="A473">
        <v>5.4539999999999997</v>
      </c>
      <c r="B473">
        <v>18.059999999999999</v>
      </c>
      <c r="C473">
        <v>20.100000000000001</v>
      </c>
      <c r="D473">
        <v>319200</v>
      </c>
    </row>
    <row r="474" spans="1:4" x14ac:dyDescent="0.3">
      <c r="A474">
        <v>5.4139999999999997</v>
      </c>
      <c r="B474">
        <v>23.97</v>
      </c>
      <c r="C474">
        <v>20.100000000000001</v>
      </c>
      <c r="D474">
        <v>147000</v>
      </c>
    </row>
    <row r="475" spans="1:4" x14ac:dyDescent="0.3">
      <c r="A475">
        <v>5.093</v>
      </c>
      <c r="B475">
        <v>29.68</v>
      </c>
      <c r="C475">
        <v>20.100000000000001</v>
      </c>
      <c r="D475">
        <v>170100</v>
      </c>
    </row>
    <row r="476" spans="1:4" x14ac:dyDescent="0.3">
      <c r="A476">
        <v>5.9829999999999997</v>
      </c>
      <c r="B476">
        <v>18.07</v>
      </c>
      <c r="C476">
        <v>20.100000000000001</v>
      </c>
      <c r="D476">
        <v>285600</v>
      </c>
    </row>
    <row r="477" spans="1:4" x14ac:dyDescent="0.3">
      <c r="A477">
        <v>5.9829999999999997</v>
      </c>
      <c r="B477">
        <v>13.35</v>
      </c>
      <c r="C477">
        <v>20.100000000000001</v>
      </c>
      <c r="D477">
        <v>422100</v>
      </c>
    </row>
    <row r="478" spans="1:4" x14ac:dyDescent="0.3">
      <c r="A478">
        <v>5.7069999999999999</v>
      </c>
      <c r="B478">
        <v>12.01</v>
      </c>
      <c r="C478">
        <v>19.2</v>
      </c>
      <c r="D478">
        <v>457800</v>
      </c>
    </row>
    <row r="479" spans="1:4" x14ac:dyDescent="0.3">
      <c r="A479">
        <v>5.9260000000000002</v>
      </c>
      <c r="B479">
        <v>13.59</v>
      </c>
      <c r="C479">
        <v>19.2</v>
      </c>
      <c r="D479">
        <v>514500</v>
      </c>
    </row>
    <row r="480" spans="1:4" x14ac:dyDescent="0.3">
      <c r="A480">
        <v>5.67</v>
      </c>
      <c r="B480">
        <v>17.600000000000001</v>
      </c>
      <c r="C480">
        <v>19.2</v>
      </c>
      <c r="D480">
        <v>485100</v>
      </c>
    </row>
    <row r="481" spans="1:4" x14ac:dyDescent="0.3">
      <c r="A481">
        <v>5.39</v>
      </c>
      <c r="B481">
        <v>21.14</v>
      </c>
      <c r="C481">
        <v>19.2</v>
      </c>
      <c r="D481">
        <v>413700</v>
      </c>
    </row>
    <row r="482" spans="1:4" x14ac:dyDescent="0.3">
      <c r="A482">
        <v>5.7939999999999996</v>
      </c>
      <c r="B482">
        <v>14.1</v>
      </c>
      <c r="C482">
        <v>19.2</v>
      </c>
      <c r="D482">
        <v>384300</v>
      </c>
    </row>
    <row r="483" spans="1:4" x14ac:dyDescent="0.3">
      <c r="A483">
        <v>6.0190000000000001</v>
      </c>
      <c r="B483">
        <v>12.92</v>
      </c>
      <c r="C483">
        <v>19.2</v>
      </c>
      <c r="D483">
        <v>445200</v>
      </c>
    </row>
    <row r="484" spans="1:4" x14ac:dyDescent="0.3">
      <c r="A484">
        <v>5.569</v>
      </c>
      <c r="B484">
        <v>15.1</v>
      </c>
      <c r="C484">
        <v>19.2</v>
      </c>
      <c r="D484">
        <v>367500</v>
      </c>
    </row>
    <row r="485" spans="1:4" x14ac:dyDescent="0.3">
      <c r="A485">
        <v>6.0270000000000001</v>
      </c>
      <c r="B485">
        <v>14.33</v>
      </c>
      <c r="C485">
        <v>19.2</v>
      </c>
      <c r="D485">
        <v>352800</v>
      </c>
    </row>
    <row r="486" spans="1:4" x14ac:dyDescent="0.3">
      <c r="A486">
        <v>6.593</v>
      </c>
      <c r="B486">
        <v>9.67</v>
      </c>
      <c r="C486">
        <v>21</v>
      </c>
      <c r="D486">
        <v>470400</v>
      </c>
    </row>
    <row r="487" spans="1:4" x14ac:dyDescent="0.3">
      <c r="A487">
        <v>6.12</v>
      </c>
      <c r="B487">
        <v>9.08</v>
      </c>
      <c r="C487">
        <v>21</v>
      </c>
      <c r="D487">
        <v>432600</v>
      </c>
    </row>
    <row r="488" spans="1:4" x14ac:dyDescent="0.3">
      <c r="A488">
        <v>6.976</v>
      </c>
      <c r="B488">
        <v>5.64</v>
      </c>
      <c r="C488">
        <v>21</v>
      </c>
      <c r="D488">
        <v>501900</v>
      </c>
    </row>
    <row r="489" spans="1:4" x14ac:dyDescent="0.3">
      <c r="A489">
        <v>6.7939999999999996</v>
      </c>
      <c r="B489">
        <v>6.48</v>
      </c>
      <c r="C489">
        <v>21</v>
      </c>
      <c r="D489">
        <v>462000</v>
      </c>
    </row>
    <row r="490" spans="1:4" x14ac:dyDescent="0.3">
      <c r="A490">
        <v>6.03</v>
      </c>
      <c r="B490">
        <v>7.88</v>
      </c>
      <c r="C490">
        <v>21</v>
      </c>
      <c r="D490">
        <v>249900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F5CD-2BBB-4912-9298-43D6E24C4718}">
  <dimension ref="A2:L502"/>
  <sheetViews>
    <sheetView topLeftCell="A478" workbookViewId="0">
      <selection activeCell="L494" sqref="L494"/>
    </sheetView>
  </sheetViews>
  <sheetFormatPr defaultRowHeight="14.4" x14ac:dyDescent="0.3"/>
  <cols>
    <col min="3" max="3" width="17.77734375" style="2" customWidth="1"/>
    <col min="4" max="4" width="8.88671875" style="2"/>
    <col min="5" max="5" width="16.33203125" customWidth="1"/>
    <col min="7" max="7" width="23.5546875" style="2" bestFit="1" customWidth="1"/>
    <col min="8" max="8" width="23.21875" style="2" customWidth="1"/>
    <col min="10" max="10" width="23.6640625" bestFit="1" customWidth="1"/>
    <col min="11" max="11" width="24" customWidth="1"/>
    <col min="12" max="12" width="28.77734375" bestFit="1" customWidth="1"/>
  </cols>
  <sheetData>
    <row r="2" spans="1:12" x14ac:dyDescent="0.3">
      <c r="A2" t="s">
        <v>53</v>
      </c>
      <c r="B2" t="s">
        <v>54</v>
      </c>
    </row>
    <row r="3" spans="1:12" x14ac:dyDescent="0.3">
      <c r="D3" s="2" t="s">
        <v>56</v>
      </c>
      <c r="E3" s="2" t="s">
        <v>57</v>
      </c>
      <c r="H3" s="2" t="s">
        <v>58</v>
      </c>
      <c r="K3" t="s">
        <v>59</v>
      </c>
      <c r="L3" t="s">
        <v>60</v>
      </c>
    </row>
    <row r="4" spans="1:12" s="3" customFormat="1" x14ac:dyDescent="0.3">
      <c r="A4" s="17" t="s">
        <v>1</v>
      </c>
      <c r="B4" s="17" t="s">
        <v>2</v>
      </c>
      <c r="C4" s="18" t="s">
        <v>3</v>
      </c>
      <c r="D4" s="18" t="s">
        <v>4</v>
      </c>
      <c r="E4" s="17" t="s">
        <v>55</v>
      </c>
      <c r="F4" s="17"/>
      <c r="G4" s="18" t="s">
        <v>61</v>
      </c>
      <c r="H4" s="18" t="s">
        <v>62</v>
      </c>
      <c r="K4" s="18" t="s">
        <v>63</v>
      </c>
      <c r="L4" s="18" t="s">
        <v>64</v>
      </c>
    </row>
    <row r="5" spans="1:12" x14ac:dyDescent="0.3">
      <c r="A5" s="19">
        <v>6.5750000000000002</v>
      </c>
      <c r="B5" s="19">
        <v>4.9800000000000004</v>
      </c>
      <c r="C5" s="20">
        <v>15.3</v>
      </c>
      <c r="D5" s="20">
        <v>504000</v>
      </c>
      <c r="E5" s="21">
        <f>415464.396516735+86565*(A5)-10849*(B5)-19492*(C5)</f>
        <v>632373.65151673486</v>
      </c>
      <c r="G5" s="21">
        <f>E5-D5</f>
        <v>128373.65151673486</v>
      </c>
      <c r="H5" s="21">
        <f>G5^2</f>
        <v>16479794403.740082</v>
      </c>
      <c r="K5" s="21">
        <f>ABS(G5)</f>
        <v>128373.65151673486</v>
      </c>
      <c r="L5" s="22">
        <f>ABS(G5/D5)</f>
        <v>0.25470962602526759</v>
      </c>
    </row>
    <row r="6" spans="1:12" x14ac:dyDescent="0.3">
      <c r="A6" s="19">
        <v>6.4210000000000003</v>
      </c>
      <c r="B6" s="19">
        <v>9.14</v>
      </c>
      <c r="C6" s="20">
        <v>17.8</v>
      </c>
      <c r="D6" s="20">
        <v>453600</v>
      </c>
      <c r="E6" s="21">
        <f t="shared" ref="E6:E69" si="0">415464.396516735+86565*(A6)-10849*(B6)-19492*(C6)</f>
        <v>525180.80151673499</v>
      </c>
      <c r="G6" s="21">
        <f t="shared" ref="G6:G69" si="1">E6-D6</f>
        <v>71580.801516734995</v>
      </c>
      <c r="H6" s="21">
        <f t="shared" ref="H6:H69" si="2">G6^2</f>
        <v>5123811145.7782106</v>
      </c>
      <c r="K6" s="21">
        <f t="shared" ref="K6:K69" si="3">ABS(G6)</f>
        <v>71580.801516734995</v>
      </c>
      <c r="L6" s="22">
        <f t="shared" ref="L6:L69" si="4">ABS(G6/D6)</f>
        <v>0.15780599981643517</v>
      </c>
    </row>
    <row r="7" spans="1:12" x14ac:dyDescent="0.3">
      <c r="A7" s="19">
        <v>7.1849999999999996</v>
      </c>
      <c r="B7" s="19">
        <v>4.03</v>
      </c>
      <c r="C7" s="20">
        <v>17.8</v>
      </c>
      <c r="D7" s="20">
        <v>728700</v>
      </c>
      <c r="E7" s="21">
        <f t="shared" si="0"/>
        <v>646754.85151673504</v>
      </c>
      <c r="G7" s="21">
        <f t="shared" si="1"/>
        <v>-81945.148483264958</v>
      </c>
      <c r="H7" s="21">
        <f t="shared" si="2"/>
        <v>6715007359.9443417</v>
      </c>
      <c r="K7" s="21">
        <f t="shared" si="3"/>
        <v>81945.148483264958</v>
      </c>
      <c r="L7" s="22">
        <f t="shared" si="4"/>
        <v>0.11245388840848766</v>
      </c>
    </row>
    <row r="8" spans="1:12" x14ac:dyDescent="0.3">
      <c r="A8" s="19">
        <v>6.9980000000000002</v>
      </c>
      <c r="B8" s="19">
        <v>2.94</v>
      </c>
      <c r="C8" s="20">
        <v>18.7</v>
      </c>
      <c r="D8" s="20">
        <v>701400</v>
      </c>
      <c r="E8" s="21">
        <f t="shared" si="0"/>
        <v>624849.80651673512</v>
      </c>
      <c r="G8" s="21">
        <f t="shared" si="1"/>
        <v>-76550.193483264884</v>
      </c>
      <c r="H8" s="21">
        <f t="shared" si="2"/>
        <v>5859932122.3252897</v>
      </c>
      <c r="K8" s="21">
        <f t="shared" si="3"/>
        <v>76550.193483264884</v>
      </c>
      <c r="L8" s="22">
        <f t="shared" si="4"/>
        <v>0.10913914097984728</v>
      </c>
    </row>
    <row r="9" spans="1:12" x14ac:dyDescent="0.3">
      <c r="A9" s="19">
        <v>7.1470000000000002</v>
      </c>
      <c r="B9" s="19">
        <v>5.33</v>
      </c>
      <c r="C9" s="20">
        <v>18.7</v>
      </c>
      <c r="D9" s="20">
        <v>760200</v>
      </c>
      <c r="E9" s="21">
        <f t="shared" si="0"/>
        <v>611818.88151673507</v>
      </c>
      <c r="G9" s="21">
        <f t="shared" si="1"/>
        <v>-148381.11848326493</v>
      </c>
      <c r="H9" s="21">
        <f t="shared" si="2"/>
        <v>22016956322.344707</v>
      </c>
      <c r="K9" s="21">
        <f t="shared" si="3"/>
        <v>148381.11848326493</v>
      </c>
      <c r="L9" s="22">
        <f t="shared" si="4"/>
        <v>0.19518694880724141</v>
      </c>
    </row>
    <row r="10" spans="1:12" x14ac:dyDescent="0.3">
      <c r="A10" s="19">
        <v>6.43</v>
      </c>
      <c r="B10" s="19">
        <v>5.21</v>
      </c>
      <c r="C10" s="20">
        <v>18.7</v>
      </c>
      <c r="D10" s="20">
        <v>602700</v>
      </c>
      <c r="E10" s="21">
        <f t="shared" si="0"/>
        <v>551053.65651673498</v>
      </c>
      <c r="G10" s="21">
        <f t="shared" si="1"/>
        <v>-51646.343483265024</v>
      </c>
      <c r="H10" s="21">
        <f t="shared" si="2"/>
        <v>2667344795.1913915</v>
      </c>
      <c r="K10" s="21">
        <f t="shared" si="3"/>
        <v>51646.343483265024</v>
      </c>
      <c r="L10" s="22">
        <f t="shared" si="4"/>
        <v>8.5691626818093614E-2</v>
      </c>
    </row>
    <row r="11" spans="1:12" x14ac:dyDescent="0.3">
      <c r="A11" s="19">
        <v>6.0119999999999996</v>
      </c>
      <c r="B11" s="19">
        <v>12.43</v>
      </c>
      <c r="C11" s="20">
        <v>15.2</v>
      </c>
      <c r="D11" s="20">
        <v>480900</v>
      </c>
      <c r="E11" s="21">
        <f t="shared" si="0"/>
        <v>504761.70651673496</v>
      </c>
      <c r="G11" s="21">
        <f t="shared" si="1"/>
        <v>23861.706516734965</v>
      </c>
      <c r="H11" s="21">
        <f t="shared" si="2"/>
        <v>569381037.89079189</v>
      </c>
      <c r="K11" s="21">
        <f t="shared" si="3"/>
        <v>23861.706516734965</v>
      </c>
      <c r="L11" s="22">
        <f t="shared" si="4"/>
        <v>4.9618853226731055E-2</v>
      </c>
    </row>
    <row r="12" spans="1:12" x14ac:dyDescent="0.3">
      <c r="A12" s="19">
        <v>6.1719999999999997</v>
      </c>
      <c r="B12" s="19">
        <v>19.149999999999999</v>
      </c>
      <c r="C12" s="20">
        <v>15.2</v>
      </c>
      <c r="D12" s="20">
        <v>569100</v>
      </c>
      <c r="E12" s="21">
        <f t="shared" si="0"/>
        <v>445706.82651673496</v>
      </c>
      <c r="G12" s="21">
        <f t="shared" si="1"/>
        <v>-123393.17348326504</v>
      </c>
      <c r="H12" s="21">
        <f t="shared" si="2"/>
        <v>15225875262.271143</v>
      </c>
      <c r="K12" s="21">
        <f t="shared" si="3"/>
        <v>123393.17348326504</v>
      </c>
      <c r="L12" s="22">
        <f t="shared" si="4"/>
        <v>0.21682160162232481</v>
      </c>
    </row>
    <row r="13" spans="1:12" x14ac:dyDescent="0.3">
      <c r="A13" s="19">
        <v>5.6310000000000002</v>
      </c>
      <c r="B13" s="19">
        <v>29.93</v>
      </c>
      <c r="C13" s="20">
        <v>15.2</v>
      </c>
      <c r="D13" s="20">
        <v>346500</v>
      </c>
      <c r="E13" s="21">
        <f t="shared" si="0"/>
        <v>281922.94151673507</v>
      </c>
      <c r="G13" s="21">
        <f t="shared" si="1"/>
        <v>-64577.058483264933</v>
      </c>
      <c r="H13" s="21">
        <f t="shared" si="2"/>
        <v>4170196482.3510194</v>
      </c>
      <c r="K13" s="21">
        <f t="shared" si="3"/>
        <v>64577.058483264933</v>
      </c>
      <c r="L13" s="22">
        <f t="shared" si="4"/>
        <v>0.18636957715227975</v>
      </c>
    </row>
    <row r="14" spans="1:12" x14ac:dyDescent="0.3">
      <c r="A14" s="19">
        <v>6.0039999999999996</v>
      </c>
      <c r="B14" s="19">
        <v>17.100000000000001</v>
      </c>
      <c r="C14" s="20">
        <v>15.2</v>
      </c>
      <c r="D14" s="20">
        <v>396900</v>
      </c>
      <c r="E14" s="21">
        <f t="shared" si="0"/>
        <v>453404.35651673499</v>
      </c>
      <c r="G14" s="21">
        <f t="shared" si="1"/>
        <v>56504.356516734988</v>
      </c>
      <c r="H14" s="21">
        <f t="shared" si="2"/>
        <v>3192742305.3702917</v>
      </c>
      <c r="K14" s="21">
        <f t="shared" si="3"/>
        <v>56504.356516734988</v>
      </c>
      <c r="L14" s="22">
        <f t="shared" si="4"/>
        <v>0.14236421394994958</v>
      </c>
    </row>
    <row r="15" spans="1:12" x14ac:dyDescent="0.3">
      <c r="A15" s="19">
        <v>6.3769999999999998</v>
      </c>
      <c r="B15" s="19">
        <v>20.45</v>
      </c>
      <c r="C15" s="20">
        <v>15.2</v>
      </c>
      <c r="D15" s="20">
        <v>315000</v>
      </c>
      <c r="E15" s="21">
        <f t="shared" si="0"/>
        <v>449348.95151673508</v>
      </c>
      <c r="G15" s="21">
        <f t="shared" si="1"/>
        <v>134348.95151673508</v>
      </c>
      <c r="H15" s="21">
        <f t="shared" si="2"/>
        <v>18049640773.64603</v>
      </c>
      <c r="K15" s="21">
        <f t="shared" si="3"/>
        <v>134348.95151673508</v>
      </c>
      <c r="L15" s="22">
        <f t="shared" si="4"/>
        <v>0.42650460798963519</v>
      </c>
    </row>
    <row r="16" spans="1:12" x14ac:dyDescent="0.3">
      <c r="A16" s="19">
        <v>6.0090000000000003</v>
      </c>
      <c r="B16" s="19">
        <v>13.27</v>
      </c>
      <c r="C16" s="20">
        <v>15.2</v>
      </c>
      <c r="D16" s="20">
        <v>396900</v>
      </c>
      <c r="E16" s="21">
        <f t="shared" si="0"/>
        <v>495388.8515167351</v>
      </c>
      <c r="G16" s="21">
        <f t="shared" si="1"/>
        <v>98488.8515167351</v>
      </c>
      <c r="H16" s="21">
        <f t="shared" si="2"/>
        <v>9700053873.0854931</v>
      </c>
      <c r="K16" s="21">
        <f t="shared" si="3"/>
        <v>98488.8515167351</v>
      </c>
      <c r="L16" s="22">
        <f t="shared" si="4"/>
        <v>0.24814525451432376</v>
      </c>
    </row>
    <row r="17" spans="1:12" x14ac:dyDescent="0.3">
      <c r="A17" s="19">
        <v>5.8890000000000002</v>
      </c>
      <c r="B17" s="19">
        <v>15.71</v>
      </c>
      <c r="C17" s="20">
        <v>15.2</v>
      </c>
      <c r="D17" s="20">
        <v>455700</v>
      </c>
      <c r="E17" s="21">
        <f t="shared" si="0"/>
        <v>458529.49151673511</v>
      </c>
      <c r="G17" s="21">
        <f t="shared" si="1"/>
        <v>2829.4915167351137</v>
      </c>
      <c r="H17" s="21">
        <f t="shared" si="2"/>
        <v>8006022.2432759739</v>
      </c>
      <c r="K17" s="21">
        <f t="shared" si="3"/>
        <v>2829.4915167351137</v>
      </c>
      <c r="L17" s="22">
        <f t="shared" si="4"/>
        <v>6.2091101969170811E-3</v>
      </c>
    </row>
    <row r="18" spans="1:12" x14ac:dyDescent="0.3">
      <c r="A18" s="19">
        <v>5.9489999999999998</v>
      </c>
      <c r="B18" s="19">
        <v>8.26</v>
      </c>
      <c r="C18" s="20">
        <v>21</v>
      </c>
      <c r="D18" s="20">
        <v>428400</v>
      </c>
      <c r="E18" s="21">
        <f t="shared" si="0"/>
        <v>431494.84151673503</v>
      </c>
      <c r="G18" s="21">
        <f t="shared" si="1"/>
        <v>3094.8415167350322</v>
      </c>
      <c r="H18" s="21">
        <f t="shared" si="2"/>
        <v>9578044.013706794</v>
      </c>
      <c r="K18" s="21">
        <f t="shared" si="3"/>
        <v>3094.8415167350322</v>
      </c>
      <c r="L18" s="22">
        <f t="shared" si="4"/>
        <v>7.2241865470005417E-3</v>
      </c>
    </row>
    <row r="19" spans="1:12" x14ac:dyDescent="0.3">
      <c r="A19" s="19">
        <v>6.0960000000000001</v>
      </c>
      <c r="B19" s="19">
        <v>10.26</v>
      </c>
      <c r="C19" s="20">
        <v>21</v>
      </c>
      <c r="D19" s="20">
        <v>382200</v>
      </c>
      <c r="E19" s="21">
        <f t="shared" si="0"/>
        <v>422521.89651673497</v>
      </c>
      <c r="G19" s="21">
        <f t="shared" si="1"/>
        <v>40321.896516734967</v>
      </c>
      <c r="H19" s="21">
        <f t="shared" si="2"/>
        <v>1625855338.7062836</v>
      </c>
      <c r="K19" s="21">
        <f t="shared" si="3"/>
        <v>40321.896516734967</v>
      </c>
      <c r="L19" s="22">
        <f t="shared" si="4"/>
        <v>0.10549946760003916</v>
      </c>
    </row>
    <row r="20" spans="1:12" x14ac:dyDescent="0.3">
      <c r="A20" s="19">
        <v>5.8339999999999996</v>
      </c>
      <c r="B20" s="19">
        <v>8.4700000000000006</v>
      </c>
      <c r="C20" s="20">
        <v>21</v>
      </c>
      <c r="D20" s="20">
        <v>417900</v>
      </c>
      <c r="E20" s="21">
        <f t="shared" si="0"/>
        <v>419261.5765167349</v>
      </c>
      <c r="G20" s="21">
        <f t="shared" si="1"/>
        <v>1361.5765167349018</v>
      </c>
      <c r="H20" s="21">
        <f t="shared" si="2"/>
        <v>1853890.6109239485</v>
      </c>
      <c r="K20" s="21">
        <f t="shared" si="3"/>
        <v>1361.5765167349018</v>
      </c>
      <c r="L20" s="22">
        <f t="shared" si="4"/>
        <v>3.2581395471043355E-3</v>
      </c>
    </row>
    <row r="21" spans="1:12" x14ac:dyDescent="0.3">
      <c r="A21" s="19">
        <v>5.9349999999999996</v>
      </c>
      <c r="B21" s="19">
        <v>6.58</v>
      </c>
      <c r="C21" s="20">
        <v>21</v>
      </c>
      <c r="D21" s="20">
        <v>485100</v>
      </c>
      <c r="E21" s="21">
        <f t="shared" si="0"/>
        <v>448509.25151673495</v>
      </c>
      <c r="G21" s="21">
        <f t="shared" si="1"/>
        <v>-36590.748483265052</v>
      </c>
      <c r="H21" s="21">
        <f t="shared" si="2"/>
        <v>1338882874.5655637</v>
      </c>
      <c r="K21" s="21">
        <f t="shared" si="3"/>
        <v>36590.748483265052</v>
      </c>
      <c r="L21" s="22">
        <f t="shared" si="4"/>
        <v>7.5429289802649041E-2</v>
      </c>
    </row>
    <row r="22" spans="1:12" x14ac:dyDescent="0.3">
      <c r="A22" s="19">
        <v>5.99</v>
      </c>
      <c r="B22" s="19">
        <v>14.67</v>
      </c>
      <c r="C22" s="20">
        <v>21</v>
      </c>
      <c r="D22" s="20">
        <v>367500</v>
      </c>
      <c r="E22" s="21">
        <f t="shared" si="0"/>
        <v>365501.9165167351</v>
      </c>
      <c r="G22" s="21">
        <f t="shared" si="1"/>
        <v>-1998.0834832648979</v>
      </c>
      <c r="H22" s="21">
        <f t="shared" si="2"/>
        <v>3992337.6060959878</v>
      </c>
      <c r="K22" s="21">
        <f t="shared" si="3"/>
        <v>1998.0834832648979</v>
      </c>
      <c r="L22" s="22">
        <f t="shared" si="4"/>
        <v>5.4369618592242123E-3</v>
      </c>
    </row>
    <row r="23" spans="1:12" x14ac:dyDescent="0.3">
      <c r="A23" s="19">
        <v>5.4560000000000004</v>
      </c>
      <c r="B23" s="19">
        <v>11.69</v>
      </c>
      <c r="C23" s="20">
        <v>21</v>
      </c>
      <c r="D23" s="20">
        <v>424200</v>
      </c>
      <c r="E23" s="21">
        <f t="shared" si="0"/>
        <v>351606.22651673504</v>
      </c>
      <c r="G23" s="21">
        <f t="shared" si="1"/>
        <v>-72593.773483264958</v>
      </c>
      <c r="H23" s="21">
        <f t="shared" si="2"/>
        <v>5269855948.5395823</v>
      </c>
      <c r="K23" s="21">
        <f t="shared" si="3"/>
        <v>72593.773483264958</v>
      </c>
      <c r="L23" s="22">
        <f t="shared" si="4"/>
        <v>0.17113100773989853</v>
      </c>
    </row>
    <row r="24" spans="1:12" x14ac:dyDescent="0.3">
      <c r="A24" s="19">
        <v>5.7270000000000003</v>
      </c>
      <c r="B24" s="19">
        <v>11.28</v>
      </c>
      <c r="C24" s="20">
        <v>21</v>
      </c>
      <c r="D24" s="20">
        <v>382200</v>
      </c>
      <c r="E24" s="21">
        <f t="shared" si="0"/>
        <v>379513.43151673512</v>
      </c>
      <c r="G24" s="21">
        <f t="shared" si="1"/>
        <v>-2686.568483264884</v>
      </c>
      <c r="H24" s="21">
        <f t="shared" si="2"/>
        <v>7217650.2152721789</v>
      </c>
      <c r="K24" s="21">
        <f t="shared" si="3"/>
        <v>2686.568483264884</v>
      </c>
      <c r="L24" s="22">
        <f t="shared" si="4"/>
        <v>7.029221567935332E-3</v>
      </c>
    </row>
    <row r="25" spans="1:12" x14ac:dyDescent="0.3">
      <c r="A25" s="19">
        <v>5.57</v>
      </c>
      <c r="B25" s="19">
        <v>21.02</v>
      </c>
      <c r="C25" s="20">
        <v>21</v>
      </c>
      <c r="D25" s="20">
        <v>285600</v>
      </c>
      <c r="E25" s="21">
        <f t="shared" si="0"/>
        <v>260253.46651673503</v>
      </c>
      <c r="G25" s="21">
        <f t="shared" si="1"/>
        <v>-25346.533483264968</v>
      </c>
      <c r="H25" s="21">
        <f t="shared" si="2"/>
        <v>642446759.61827219</v>
      </c>
      <c r="K25" s="21">
        <f t="shared" si="3"/>
        <v>25346.533483264968</v>
      </c>
      <c r="L25" s="22">
        <f t="shared" si="4"/>
        <v>8.8748366538042606E-2</v>
      </c>
    </row>
    <row r="26" spans="1:12" x14ac:dyDescent="0.3">
      <c r="A26" s="19">
        <v>5.9649999999999999</v>
      </c>
      <c r="B26" s="19">
        <v>13.83</v>
      </c>
      <c r="C26" s="20">
        <v>21</v>
      </c>
      <c r="D26" s="20">
        <v>411600</v>
      </c>
      <c r="E26" s="21">
        <f t="shared" si="0"/>
        <v>372450.95151673502</v>
      </c>
      <c r="G26" s="21">
        <f t="shared" si="1"/>
        <v>-39149.048483264982</v>
      </c>
      <c r="H26" s="21">
        <f t="shared" si="2"/>
        <v>1532647997.1450322</v>
      </c>
      <c r="K26" s="21">
        <f t="shared" si="3"/>
        <v>39149.048483264982</v>
      </c>
      <c r="L26" s="22">
        <f t="shared" si="4"/>
        <v>9.5114306324744852E-2</v>
      </c>
    </row>
    <row r="27" spans="1:12" x14ac:dyDescent="0.3">
      <c r="A27" s="19">
        <v>6.1420000000000003</v>
      </c>
      <c r="B27" s="19">
        <v>18.72</v>
      </c>
      <c r="C27" s="20">
        <v>21</v>
      </c>
      <c r="D27" s="20">
        <v>319200</v>
      </c>
      <c r="E27" s="21">
        <f t="shared" si="0"/>
        <v>334721.34651673492</v>
      </c>
      <c r="G27" s="21">
        <f t="shared" si="1"/>
        <v>15521.34651673492</v>
      </c>
      <c r="H27" s="21">
        <f t="shared" si="2"/>
        <v>240912197.69255924</v>
      </c>
      <c r="K27" s="21">
        <f t="shared" si="3"/>
        <v>15521.34651673492</v>
      </c>
      <c r="L27" s="22">
        <f t="shared" si="4"/>
        <v>4.8625772295535462E-2</v>
      </c>
    </row>
    <row r="28" spans="1:12" x14ac:dyDescent="0.3">
      <c r="A28" s="19">
        <v>5.8129999999999997</v>
      </c>
      <c r="B28" s="19">
        <v>19.88</v>
      </c>
      <c r="C28" s="20">
        <v>21</v>
      </c>
      <c r="D28" s="20">
        <v>304500</v>
      </c>
      <c r="E28" s="21">
        <f t="shared" si="0"/>
        <v>293656.62151673494</v>
      </c>
      <c r="G28" s="21">
        <f t="shared" si="1"/>
        <v>-10843.378483265056</v>
      </c>
      <c r="H28" s="21">
        <f t="shared" si="2"/>
        <v>117578856.9313356</v>
      </c>
      <c r="K28" s="21">
        <f t="shared" si="3"/>
        <v>10843.378483265056</v>
      </c>
      <c r="L28" s="22">
        <f t="shared" si="4"/>
        <v>3.5610438368686555E-2</v>
      </c>
    </row>
    <row r="29" spans="1:12" x14ac:dyDescent="0.3">
      <c r="A29" s="19">
        <v>5.9240000000000004</v>
      </c>
      <c r="B29" s="19">
        <v>16.3</v>
      </c>
      <c r="C29" s="20">
        <v>21</v>
      </c>
      <c r="D29" s="20">
        <v>327600</v>
      </c>
      <c r="E29" s="21">
        <f t="shared" si="0"/>
        <v>342104.75651673507</v>
      </c>
      <c r="G29" s="21">
        <f t="shared" si="1"/>
        <v>14504.756516735069</v>
      </c>
      <c r="H29" s="21">
        <f t="shared" si="2"/>
        <v>210387961.60976845</v>
      </c>
      <c r="K29" s="21">
        <f t="shared" si="3"/>
        <v>14504.756516735069</v>
      </c>
      <c r="L29" s="22">
        <f t="shared" si="4"/>
        <v>4.4275813543147344E-2</v>
      </c>
    </row>
    <row r="30" spans="1:12" x14ac:dyDescent="0.3">
      <c r="A30" s="19">
        <v>5.5990000000000002</v>
      </c>
      <c r="B30" s="19">
        <v>16.510000000000002</v>
      </c>
      <c r="C30" s="20">
        <v>21</v>
      </c>
      <c r="D30" s="20">
        <v>291900</v>
      </c>
      <c r="E30" s="21">
        <f t="shared" si="0"/>
        <v>311692.84151673503</v>
      </c>
      <c r="G30" s="21">
        <f t="shared" si="1"/>
        <v>19792.841516735032</v>
      </c>
      <c r="H30" s="21">
        <f t="shared" si="2"/>
        <v>391756575.3065899</v>
      </c>
      <c r="K30" s="21">
        <f t="shared" si="3"/>
        <v>19792.841516735032</v>
      </c>
      <c r="L30" s="22">
        <f t="shared" si="4"/>
        <v>6.7806925374220728E-2</v>
      </c>
    </row>
    <row r="31" spans="1:12" x14ac:dyDescent="0.3">
      <c r="A31" s="19">
        <v>5.8129999999999997</v>
      </c>
      <c r="B31" s="19">
        <v>14.81</v>
      </c>
      <c r="C31" s="20">
        <v>21</v>
      </c>
      <c r="D31" s="20">
        <v>348600</v>
      </c>
      <c r="E31" s="21">
        <f t="shared" si="0"/>
        <v>348661.05151673499</v>
      </c>
      <c r="G31" s="21">
        <f t="shared" si="1"/>
        <v>61.051516734994948</v>
      </c>
      <c r="H31" s="21">
        <f t="shared" si="2"/>
        <v>3727.2876956433684</v>
      </c>
      <c r="K31" s="21">
        <f t="shared" si="3"/>
        <v>61.051516734994948</v>
      </c>
      <c r="L31" s="22">
        <f t="shared" si="4"/>
        <v>1.7513343871197634E-4</v>
      </c>
    </row>
    <row r="32" spans="1:12" x14ac:dyDescent="0.3">
      <c r="A32" s="19">
        <v>6.0469999999999997</v>
      </c>
      <c r="B32" s="19">
        <v>17.28</v>
      </c>
      <c r="C32" s="20">
        <v>21</v>
      </c>
      <c r="D32" s="20">
        <v>310800</v>
      </c>
      <c r="E32" s="21">
        <f t="shared" si="0"/>
        <v>342120.23151673505</v>
      </c>
      <c r="G32" s="21">
        <f t="shared" si="1"/>
        <v>31320.231516735046</v>
      </c>
      <c r="H32" s="21">
        <f t="shared" si="2"/>
        <v>980956902.26188326</v>
      </c>
      <c r="K32" s="21">
        <f t="shared" si="3"/>
        <v>31320.231516735046</v>
      </c>
      <c r="L32" s="22">
        <f t="shared" si="4"/>
        <v>0.1007729456780407</v>
      </c>
    </row>
    <row r="33" spans="1:12" x14ac:dyDescent="0.3">
      <c r="A33" s="19">
        <v>6.4950000000000001</v>
      </c>
      <c r="B33" s="19">
        <v>12.8</v>
      </c>
      <c r="C33" s="20">
        <v>21</v>
      </c>
      <c r="D33" s="20">
        <v>386400</v>
      </c>
      <c r="E33" s="21">
        <f t="shared" si="0"/>
        <v>429504.87151673506</v>
      </c>
      <c r="G33" s="21">
        <f t="shared" si="1"/>
        <v>43104.87151673506</v>
      </c>
      <c r="H33" s="21">
        <f t="shared" si="2"/>
        <v>1858029948.4742374</v>
      </c>
      <c r="K33" s="21">
        <f t="shared" si="3"/>
        <v>43104.87151673506</v>
      </c>
      <c r="L33" s="22">
        <f t="shared" si="4"/>
        <v>0.11155505050914871</v>
      </c>
    </row>
    <row r="34" spans="1:12" x14ac:dyDescent="0.3">
      <c r="A34" s="19">
        <v>6.6740000000000004</v>
      </c>
      <c r="B34" s="19">
        <v>11.98</v>
      </c>
      <c r="C34" s="20">
        <v>21</v>
      </c>
      <c r="D34" s="20">
        <v>441000</v>
      </c>
      <c r="E34" s="21">
        <f t="shared" si="0"/>
        <v>453896.186516735</v>
      </c>
      <c r="G34" s="21">
        <f t="shared" si="1"/>
        <v>12896.186516735004</v>
      </c>
      <c r="H34" s="21">
        <f t="shared" si="2"/>
        <v>166311626.67441773</v>
      </c>
      <c r="K34" s="21">
        <f t="shared" si="3"/>
        <v>12896.186516735004</v>
      </c>
      <c r="L34" s="22">
        <f t="shared" si="4"/>
        <v>2.9243053325929715E-2</v>
      </c>
    </row>
    <row r="35" spans="1:12" x14ac:dyDescent="0.3">
      <c r="A35" s="19">
        <v>5.7130000000000001</v>
      </c>
      <c r="B35" s="19">
        <v>22.6</v>
      </c>
      <c r="C35" s="20">
        <v>21</v>
      </c>
      <c r="D35" s="20">
        <v>266700</v>
      </c>
      <c r="E35" s="21">
        <f t="shared" si="0"/>
        <v>255490.84151673503</v>
      </c>
      <c r="G35" s="21">
        <f t="shared" si="1"/>
        <v>-11209.158483264968</v>
      </c>
      <c r="H35" s="21">
        <f t="shared" si="2"/>
        <v>125645233.90295099</v>
      </c>
      <c r="K35" s="21">
        <f t="shared" si="3"/>
        <v>11209.158483264968</v>
      </c>
      <c r="L35" s="22">
        <f t="shared" si="4"/>
        <v>4.2029090675909139E-2</v>
      </c>
    </row>
    <row r="36" spans="1:12" x14ac:dyDescent="0.3">
      <c r="A36" s="19">
        <v>6.0720000000000001</v>
      </c>
      <c r="B36" s="19">
        <v>13.04</v>
      </c>
      <c r="C36" s="20">
        <v>21</v>
      </c>
      <c r="D36" s="20">
        <v>304500</v>
      </c>
      <c r="E36" s="21">
        <f t="shared" si="0"/>
        <v>390284.11651673517</v>
      </c>
      <c r="G36" s="21">
        <f t="shared" si="1"/>
        <v>85784.116516735172</v>
      </c>
      <c r="H36" s="21">
        <f t="shared" si="2"/>
        <v>7358914646.5567961</v>
      </c>
      <c r="K36" s="21">
        <f t="shared" si="3"/>
        <v>85784.116516735172</v>
      </c>
      <c r="L36" s="22">
        <f t="shared" si="4"/>
        <v>0.2817212365081615</v>
      </c>
    </row>
    <row r="37" spans="1:12" x14ac:dyDescent="0.3">
      <c r="A37" s="19">
        <v>5.95</v>
      </c>
      <c r="B37" s="19">
        <v>27.71</v>
      </c>
      <c r="C37" s="20">
        <v>21</v>
      </c>
      <c r="D37" s="20">
        <v>277200</v>
      </c>
      <c r="E37" s="21">
        <f t="shared" si="0"/>
        <v>220568.35651673493</v>
      </c>
      <c r="G37" s="21">
        <f t="shared" si="1"/>
        <v>-56631.64348326507</v>
      </c>
      <c r="H37" s="21">
        <f t="shared" si="2"/>
        <v>3207143043.6156392</v>
      </c>
      <c r="K37" s="21">
        <f t="shared" si="3"/>
        <v>56631.64348326507</v>
      </c>
      <c r="L37" s="22">
        <f t="shared" si="4"/>
        <v>0.20429885816473692</v>
      </c>
    </row>
    <row r="38" spans="1:12" x14ac:dyDescent="0.3">
      <c r="A38" s="19">
        <v>5.7009999999999996</v>
      </c>
      <c r="B38" s="19">
        <v>18.350000000000001</v>
      </c>
      <c r="C38" s="20">
        <v>21</v>
      </c>
      <c r="D38" s="20">
        <v>275100</v>
      </c>
      <c r="E38" s="21">
        <f t="shared" si="0"/>
        <v>300560.31151673489</v>
      </c>
      <c r="G38" s="21">
        <f t="shared" si="1"/>
        <v>25460.311516734888</v>
      </c>
      <c r="H38" s="21">
        <f t="shared" si="2"/>
        <v>648227462.52918315</v>
      </c>
      <c r="K38" s="21">
        <f t="shared" si="3"/>
        <v>25460.311516734888</v>
      </c>
      <c r="L38" s="22">
        <f t="shared" si="4"/>
        <v>9.2549296680243143E-2</v>
      </c>
    </row>
    <row r="39" spans="1:12" x14ac:dyDescent="0.3">
      <c r="A39" s="19">
        <v>6.0960000000000001</v>
      </c>
      <c r="B39" s="19">
        <v>20.34</v>
      </c>
      <c r="C39" s="20">
        <v>21</v>
      </c>
      <c r="D39" s="20">
        <v>283500</v>
      </c>
      <c r="E39" s="21">
        <f t="shared" si="0"/>
        <v>313163.97651673493</v>
      </c>
      <c r="G39" s="21">
        <f t="shared" si="1"/>
        <v>29663.976516734925</v>
      </c>
      <c r="H39" s="21">
        <f t="shared" si="2"/>
        <v>879951502.78540111</v>
      </c>
      <c r="K39" s="21">
        <f t="shared" si="3"/>
        <v>29663.976516734925</v>
      </c>
      <c r="L39" s="22">
        <f t="shared" si="4"/>
        <v>0.10463483780153413</v>
      </c>
    </row>
    <row r="40" spans="1:12" x14ac:dyDescent="0.3">
      <c r="A40" s="19">
        <v>5.9329999999999998</v>
      </c>
      <c r="B40" s="19">
        <v>9.68</v>
      </c>
      <c r="C40" s="20">
        <v>19.2</v>
      </c>
      <c r="D40" s="20">
        <v>396900</v>
      </c>
      <c r="E40" s="21">
        <f t="shared" si="0"/>
        <v>449789.82151673507</v>
      </c>
      <c r="G40" s="21">
        <f t="shared" si="1"/>
        <v>52889.821516735072</v>
      </c>
      <c r="H40" s="21">
        <f t="shared" si="2"/>
        <v>2797333220.0720921</v>
      </c>
      <c r="K40" s="21">
        <f t="shared" si="3"/>
        <v>52889.821516735072</v>
      </c>
      <c r="L40" s="22">
        <f t="shared" si="4"/>
        <v>0.13325729785017654</v>
      </c>
    </row>
    <row r="41" spans="1:12" x14ac:dyDescent="0.3">
      <c r="A41" s="19">
        <v>5.8410000000000002</v>
      </c>
      <c r="B41" s="19">
        <v>11.41</v>
      </c>
      <c r="C41" s="20">
        <v>19.2</v>
      </c>
      <c r="D41" s="20">
        <v>420000</v>
      </c>
      <c r="E41" s="21">
        <f t="shared" si="0"/>
        <v>423057.07151673507</v>
      </c>
      <c r="G41" s="21">
        <f t="shared" si="1"/>
        <v>3057.0715167350718</v>
      </c>
      <c r="H41" s="21">
        <f t="shared" si="2"/>
        <v>9345686.2584328726</v>
      </c>
      <c r="K41" s="21">
        <f t="shared" si="3"/>
        <v>3057.0715167350718</v>
      </c>
      <c r="L41" s="22">
        <f t="shared" si="4"/>
        <v>7.2787417065120754E-3</v>
      </c>
    </row>
    <row r="42" spans="1:12" x14ac:dyDescent="0.3">
      <c r="A42" s="19">
        <v>5.85</v>
      </c>
      <c r="B42" s="19">
        <v>8.77</v>
      </c>
      <c r="C42" s="20">
        <v>19.2</v>
      </c>
      <c r="D42" s="20">
        <v>441000</v>
      </c>
      <c r="E42" s="21">
        <f t="shared" si="0"/>
        <v>452477.51651673502</v>
      </c>
      <c r="G42" s="21">
        <f t="shared" si="1"/>
        <v>11477.516516735021</v>
      </c>
      <c r="H42" s="21">
        <f t="shared" si="2"/>
        <v>131733385.3919252</v>
      </c>
      <c r="K42" s="21">
        <f t="shared" si="3"/>
        <v>11477.516516735021</v>
      </c>
      <c r="L42" s="22">
        <f t="shared" si="4"/>
        <v>2.6026114550419546E-2</v>
      </c>
    </row>
    <row r="43" spans="1:12" x14ac:dyDescent="0.3">
      <c r="A43" s="19">
        <v>5.9660000000000002</v>
      </c>
      <c r="B43" s="19">
        <v>10.130000000000001</v>
      </c>
      <c r="C43" s="20">
        <v>19.2</v>
      </c>
      <c r="D43" s="20">
        <v>518700</v>
      </c>
      <c r="E43" s="21">
        <f t="shared" si="0"/>
        <v>447764.41651673504</v>
      </c>
      <c r="G43" s="21">
        <f t="shared" si="1"/>
        <v>-70935.583483264956</v>
      </c>
      <c r="H43" s="21">
        <f t="shared" si="2"/>
        <v>5031857004.1112518</v>
      </c>
      <c r="K43" s="21">
        <f t="shared" si="3"/>
        <v>70935.583483264956</v>
      </c>
      <c r="L43" s="22">
        <f t="shared" si="4"/>
        <v>0.13675647480868508</v>
      </c>
    </row>
    <row r="44" spans="1:12" x14ac:dyDescent="0.3">
      <c r="A44" s="19">
        <v>6.5949999999999998</v>
      </c>
      <c r="B44" s="19">
        <v>4.32</v>
      </c>
      <c r="C44" s="20">
        <v>18.3</v>
      </c>
      <c r="D44" s="20">
        <v>646800</v>
      </c>
      <c r="E44" s="21">
        <f t="shared" si="0"/>
        <v>582789.29151673499</v>
      </c>
      <c r="G44" s="21">
        <f t="shared" si="1"/>
        <v>-64010.708483265014</v>
      </c>
      <c r="H44" s="21">
        <f t="shared" si="2"/>
        <v>4097370800.5295358</v>
      </c>
      <c r="K44" s="21">
        <f t="shared" si="3"/>
        <v>64010.708483265014</v>
      </c>
      <c r="L44" s="22">
        <f t="shared" si="4"/>
        <v>9.896522647381728E-2</v>
      </c>
    </row>
    <row r="45" spans="1:12" x14ac:dyDescent="0.3">
      <c r="A45" s="19">
        <v>7.024</v>
      </c>
      <c r="B45" s="19">
        <v>1.98</v>
      </c>
      <c r="C45" s="20">
        <v>18.3</v>
      </c>
      <c r="D45" s="20">
        <v>732900</v>
      </c>
      <c r="E45" s="21">
        <f t="shared" si="0"/>
        <v>645312.33651673491</v>
      </c>
      <c r="G45" s="21">
        <f t="shared" si="1"/>
        <v>-87587.663483265089</v>
      </c>
      <c r="H45" s="21">
        <f t="shared" si="2"/>
        <v>7671598794.4576883</v>
      </c>
      <c r="K45" s="21">
        <f t="shared" si="3"/>
        <v>87587.663483265089</v>
      </c>
      <c r="L45" s="22">
        <f t="shared" si="4"/>
        <v>0.11950834149715525</v>
      </c>
    </row>
    <row r="46" spans="1:12" x14ac:dyDescent="0.3">
      <c r="A46" s="19">
        <v>6.77</v>
      </c>
      <c r="B46" s="19">
        <v>4.84</v>
      </c>
      <c r="C46" s="20">
        <v>17.899999999999999</v>
      </c>
      <c r="D46" s="20">
        <v>558600</v>
      </c>
      <c r="E46" s="21">
        <f t="shared" si="0"/>
        <v>600093.48651673505</v>
      </c>
      <c r="G46" s="21">
        <f t="shared" si="1"/>
        <v>41493.486516735051</v>
      </c>
      <c r="H46" s="21">
        <f t="shared" si="2"/>
        <v>1721709423.3144734</v>
      </c>
      <c r="K46" s="21">
        <f t="shared" si="3"/>
        <v>41493.486516735051</v>
      </c>
      <c r="L46" s="22">
        <f t="shared" si="4"/>
        <v>7.4281214673711154E-2</v>
      </c>
    </row>
    <row r="47" spans="1:12" x14ac:dyDescent="0.3">
      <c r="A47" s="19">
        <v>6.1689999999999996</v>
      </c>
      <c r="B47" s="19">
        <v>5.81</v>
      </c>
      <c r="C47" s="20">
        <v>17.899999999999999</v>
      </c>
      <c r="D47" s="20">
        <v>531300</v>
      </c>
      <c r="E47" s="21">
        <f t="shared" si="0"/>
        <v>537544.39151673508</v>
      </c>
      <c r="G47" s="21">
        <f t="shared" si="1"/>
        <v>6244.3915167350788</v>
      </c>
      <c r="H47" s="21">
        <f t="shared" si="2"/>
        <v>38992425.414273016</v>
      </c>
      <c r="K47" s="21">
        <f t="shared" si="3"/>
        <v>6244.3915167350788</v>
      </c>
      <c r="L47" s="22">
        <f t="shared" si="4"/>
        <v>1.1753042568671332E-2</v>
      </c>
    </row>
    <row r="48" spans="1:12" x14ac:dyDescent="0.3">
      <c r="A48" s="19">
        <v>6.2110000000000003</v>
      </c>
      <c r="B48" s="19">
        <v>7.44</v>
      </c>
      <c r="C48" s="20">
        <v>17.899999999999999</v>
      </c>
      <c r="D48" s="20">
        <v>518700</v>
      </c>
      <c r="E48" s="21">
        <f t="shared" si="0"/>
        <v>523496.25151673501</v>
      </c>
      <c r="G48" s="21">
        <f t="shared" si="1"/>
        <v>4796.2515167350066</v>
      </c>
      <c r="H48" s="21">
        <f t="shared" si="2"/>
        <v>23004028.611782853</v>
      </c>
      <c r="K48" s="21">
        <f t="shared" si="3"/>
        <v>4796.2515167350066</v>
      </c>
      <c r="L48" s="22">
        <f t="shared" si="4"/>
        <v>9.2466773023616861E-3</v>
      </c>
    </row>
    <row r="49" spans="1:12" x14ac:dyDescent="0.3">
      <c r="A49" s="19">
        <v>6.069</v>
      </c>
      <c r="B49" s="19">
        <v>9.5500000000000007</v>
      </c>
      <c r="C49" s="20">
        <v>17.899999999999999</v>
      </c>
      <c r="D49" s="20">
        <v>445200</v>
      </c>
      <c r="E49" s="21">
        <f t="shared" si="0"/>
        <v>488312.63151673513</v>
      </c>
      <c r="G49" s="21">
        <f t="shared" si="1"/>
        <v>43112.631516735128</v>
      </c>
      <c r="H49" s="21">
        <f t="shared" si="2"/>
        <v>1858698996.2977831</v>
      </c>
      <c r="K49" s="21">
        <f t="shared" si="3"/>
        <v>43112.631516735128</v>
      </c>
      <c r="L49" s="22">
        <f t="shared" si="4"/>
        <v>9.6838794961219957E-2</v>
      </c>
    </row>
    <row r="50" spans="1:12" x14ac:dyDescent="0.3">
      <c r="A50" s="19">
        <v>5.6820000000000004</v>
      </c>
      <c r="B50" s="19">
        <v>10.210000000000001</v>
      </c>
      <c r="C50" s="20">
        <v>17.899999999999999</v>
      </c>
      <c r="D50" s="20">
        <v>405300</v>
      </c>
      <c r="E50" s="21">
        <f t="shared" si="0"/>
        <v>447651.63651673502</v>
      </c>
      <c r="G50" s="21">
        <f t="shared" si="1"/>
        <v>42351.636516735016</v>
      </c>
      <c r="H50" s="21">
        <f t="shared" si="2"/>
        <v>1793661115.6456428</v>
      </c>
      <c r="K50" s="21">
        <f t="shared" si="3"/>
        <v>42351.636516735016</v>
      </c>
      <c r="L50" s="22">
        <f t="shared" si="4"/>
        <v>0.10449453865466325</v>
      </c>
    </row>
    <row r="51" spans="1:12" x14ac:dyDescent="0.3">
      <c r="A51" s="19">
        <v>5.7859999999999996</v>
      </c>
      <c r="B51" s="19">
        <v>14.15</v>
      </c>
      <c r="C51" s="20">
        <v>17.899999999999999</v>
      </c>
      <c r="D51" s="20">
        <v>420000</v>
      </c>
      <c r="E51" s="21">
        <f t="shared" si="0"/>
        <v>413909.33651673509</v>
      </c>
      <c r="G51" s="21">
        <f t="shared" si="1"/>
        <v>-6090.6634832649142</v>
      </c>
      <c r="H51" s="21">
        <f t="shared" si="2"/>
        <v>37096181.666376695</v>
      </c>
      <c r="K51" s="21">
        <f t="shared" si="3"/>
        <v>6090.6634832649142</v>
      </c>
      <c r="L51" s="22">
        <f t="shared" si="4"/>
        <v>1.4501579722059319E-2</v>
      </c>
    </row>
    <row r="52" spans="1:12" x14ac:dyDescent="0.3">
      <c r="A52" s="19">
        <v>6.03</v>
      </c>
      <c r="B52" s="19">
        <v>18.8</v>
      </c>
      <c r="C52" s="20">
        <v>17.899999999999999</v>
      </c>
      <c r="D52" s="20">
        <v>348600</v>
      </c>
      <c r="E52" s="21">
        <f t="shared" si="0"/>
        <v>384583.34651673498</v>
      </c>
      <c r="G52" s="21">
        <f t="shared" si="1"/>
        <v>35983.346516734979</v>
      </c>
      <c r="H52" s="21">
        <f t="shared" si="2"/>
        <v>1294801226.5434234</v>
      </c>
      <c r="K52" s="21">
        <f t="shared" si="3"/>
        <v>35983.346516734979</v>
      </c>
      <c r="L52" s="22">
        <f t="shared" si="4"/>
        <v>0.1032224512815117</v>
      </c>
    </row>
    <row r="53" spans="1:12" x14ac:dyDescent="0.3">
      <c r="A53" s="19">
        <v>5.399</v>
      </c>
      <c r="B53" s="19">
        <v>30.81</v>
      </c>
      <c r="C53" s="20">
        <v>17.899999999999999</v>
      </c>
      <c r="D53" s="20">
        <v>302400</v>
      </c>
      <c r="E53" s="21">
        <f t="shared" si="0"/>
        <v>199664.34151673509</v>
      </c>
      <c r="G53" s="21">
        <f t="shared" si="1"/>
        <v>-102735.65848326491</v>
      </c>
      <c r="H53" s="21">
        <f t="shared" si="2"/>
        <v>10554615523.990042</v>
      </c>
      <c r="K53" s="21">
        <f t="shared" si="3"/>
        <v>102735.65848326491</v>
      </c>
      <c r="L53" s="22">
        <f t="shared" si="4"/>
        <v>0.33973432038116702</v>
      </c>
    </row>
    <row r="54" spans="1:12" x14ac:dyDescent="0.3">
      <c r="A54" s="19">
        <v>5.6020000000000003</v>
      </c>
      <c r="B54" s="19">
        <v>16.2</v>
      </c>
      <c r="C54" s="20">
        <v>17.899999999999999</v>
      </c>
      <c r="D54" s="20">
        <v>407400</v>
      </c>
      <c r="E54" s="21">
        <f t="shared" si="0"/>
        <v>375740.92651673505</v>
      </c>
      <c r="G54" s="21">
        <f t="shared" si="1"/>
        <v>-31659.073483264947</v>
      </c>
      <c r="H54" s="21">
        <f t="shared" si="2"/>
        <v>1002296933.8187697</v>
      </c>
      <c r="K54" s="21">
        <f t="shared" si="3"/>
        <v>31659.073483264947</v>
      </c>
      <c r="L54" s="22">
        <f t="shared" si="4"/>
        <v>7.7710047823428927E-2</v>
      </c>
    </row>
    <row r="55" spans="1:12" x14ac:dyDescent="0.3">
      <c r="A55" s="19">
        <v>5.9630000000000001</v>
      </c>
      <c r="B55" s="19">
        <v>13.45</v>
      </c>
      <c r="C55" s="20">
        <v>16.8</v>
      </c>
      <c r="D55" s="20">
        <v>413700</v>
      </c>
      <c r="E55" s="21">
        <f t="shared" si="0"/>
        <v>458266.84151673509</v>
      </c>
      <c r="G55" s="21">
        <f t="shared" si="1"/>
        <v>44566.84151673509</v>
      </c>
      <c r="H55" s="21">
        <f t="shared" si="2"/>
        <v>1986203362.7777824</v>
      </c>
      <c r="K55" s="21">
        <f t="shared" si="3"/>
        <v>44566.84151673509</v>
      </c>
      <c r="L55" s="22">
        <f t="shared" si="4"/>
        <v>0.10772743900588613</v>
      </c>
    </row>
    <row r="56" spans="1:12" x14ac:dyDescent="0.3">
      <c r="A56" s="19">
        <v>6.1150000000000002</v>
      </c>
      <c r="B56" s="19">
        <v>9.43</v>
      </c>
      <c r="C56" s="20">
        <v>16.8</v>
      </c>
      <c r="D56" s="20">
        <v>430500</v>
      </c>
      <c r="E56" s="21">
        <f t="shared" si="0"/>
        <v>515037.70151673508</v>
      </c>
      <c r="G56" s="21">
        <f t="shared" si="1"/>
        <v>84537.701516735076</v>
      </c>
      <c r="H56" s="21">
        <f t="shared" si="2"/>
        <v>7146622977.7325916</v>
      </c>
      <c r="K56" s="21">
        <f t="shared" si="3"/>
        <v>84537.701516735076</v>
      </c>
      <c r="L56" s="22">
        <f t="shared" si="4"/>
        <v>0.19637096751854838</v>
      </c>
    </row>
    <row r="57" spans="1:12" x14ac:dyDescent="0.3">
      <c r="A57" s="19">
        <v>6.5110000000000001</v>
      </c>
      <c r="B57" s="19">
        <v>5.28</v>
      </c>
      <c r="C57" s="20">
        <v>16.8</v>
      </c>
      <c r="D57" s="20">
        <v>525000</v>
      </c>
      <c r="E57" s="21">
        <f t="shared" si="0"/>
        <v>594340.79151673499</v>
      </c>
      <c r="G57" s="21">
        <f t="shared" si="1"/>
        <v>69340.791516734986</v>
      </c>
      <c r="H57" s="21">
        <f t="shared" si="2"/>
        <v>4808145368.1673069</v>
      </c>
      <c r="K57" s="21">
        <f t="shared" si="3"/>
        <v>69340.791516734986</v>
      </c>
      <c r="L57" s="22">
        <f t="shared" si="4"/>
        <v>0.13207769812711426</v>
      </c>
    </row>
    <row r="58" spans="1:12" x14ac:dyDescent="0.3">
      <c r="A58" s="19">
        <v>5.9980000000000002</v>
      </c>
      <c r="B58" s="19">
        <v>8.43</v>
      </c>
      <c r="C58" s="20">
        <v>16.8</v>
      </c>
      <c r="D58" s="20">
        <v>491400</v>
      </c>
      <c r="E58" s="21">
        <f t="shared" si="0"/>
        <v>515758.5965167351</v>
      </c>
      <c r="G58" s="21">
        <f t="shared" si="1"/>
        <v>24358.596516735095</v>
      </c>
      <c r="H58" s="21">
        <f t="shared" si="2"/>
        <v>593341224.26509905</v>
      </c>
      <c r="K58" s="21">
        <f t="shared" si="3"/>
        <v>24358.596516735095</v>
      </c>
      <c r="L58" s="22">
        <f t="shared" si="4"/>
        <v>4.9569793481349399E-2</v>
      </c>
    </row>
    <row r="59" spans="1:12" x14ac:dyDescent="0.3">
      <c r="A59" s="19">
        <v>5.8879999999999999</v>
      </c>
      <c r="B59" s="19">
        <v>14.8</v>
      </c>
      <c r="C59" s="20">
        <v>21.1</v>
      </c>
      <c r="D59" s="20">
        <v>396900</v>
      </c>
      <c r="E59" s="21">
        <f t="shared" si="0"/>
        <v>353312.71651673497</v>
      </c>
      <c r="G59" s="21">
        <f t="shared" si="1"/>
        <v>-43587.283483265026</v>
      </c>
      <c r="H59" s="21">
        <f t="shared" si="2"/>
        <v>1899851281.4505081</v>
      </c>
      <c r="K59" s="21">
        <f t="shared" si="3"/>
        <v>43587.283483265026</v>
      </c>
      <c r="L59" s="22">
        <f t="shared" si="4"/>
        <v>0.10981930834785847</v>
      </c>
    </row>
    <row r="60" spans="1:12" x14ac:dyDescent="0.3">
      <c r="A60" s="19">
        <v>7.2489999999999997</v>
      </c>
      <c r="B60" s="19">
        <v>4.8099999999999996</v>
      </c>
      <c r="C60" s="20">
        <v>17.899999999999999</v>
      </c>
      <c r="D60" s="20">
        <v>743400</v>
      </c>
      <c r="E60" s="21">
        <f t="shared" si="0"/>
        <v>641883.59151673503</v>
      </c>
      <c r="G60" s="21">
        <f t="shared" si="1"/>
        <v>-101516.40848326497</v>
      </c>
      <c r="H60" s="21">
        <f t="shared" si="2"/>
        <v>10305581191.341112</v>
      </c>
      <c r="K60" s="21">
        <f t="shared" si="3"/>
        <v>101516.40848326497</v>
      </c>
      <c r="L60" s="22">
        <f t="shared" si="4"/>
        <v>0.13655691213783289</v>
      </c>
    </row>
    <row r="61" spans="1:12" x14ac:dyDescent="0.3">
      <c r="A61" s="19">
        <v>6.383</v>
      </c>
      <c r="B61" s="19">
        <v>5.77</v>
      </c>
      <c r="C61" s="20">
        <v>17.3</v>
      </c>
      <c r="D61" s="20">
        <v>518700</v>
      </c>
      <c r="E61" s="21">
        <f t="shared" si="0"/>
        <v>568198.46151673491</v>
      </c>
      <c r="G61" s="21">
        <f t="shared" si="1"/>
        <v>49498.461516734911</v>
      </c>
      <c r="H61" s="21">
        <f t="shared" si="2"/>
        <v>2450097692.5236869</v>
      </c>
      <c r="K61" s="21">
        <f t="shared" si="3"/>
        <v>49498.461516734911</v>
      </c>
      <c r="L61" s="22">
        <f t="shared" si="4"/>
        <v>9.5427918867813599E-2</v>
      </c>
    </row>
    <row r="62" spans="1:12" x14ac:dyDescent="0.3">
      <c r="A62" s="19">
        <v>6.8159999999999998</v>
      </c>
      <c r="B62" s="19">
        <v>3.95</v>
      </c>
      <c r="C62" s="20">
        <v>15.1</v>
      </c>
      <c r="D62" s="20">
        <v>663600</v>
      </c>
      <c r="E62" s="21">
        <f t="shared" si="0"/>
        <v>668308.686516735</v>
      </c>
      <c r="G62" s="21">
        <f t="shared" si="1"/>
        <v>4708.6865167350043</v>
      </c>
      <c r="H62" s="21">
        <f t="shared" si="2"/>
        <v>22171728.712882027</v>
      </c>
      <c r="K62" s="21">
        <f t="shared" si="3"/>
        <v>4708.6865167350043</v>
      </c>
      <c r="L62" s="22">
        <f t="shared" si="4"/>
        <v>7.0956698564421401E-3</v>
      </c>
    </row>
    <row r="63" spans="1:12" x14ac:dyDescent="0.3">
      <c r="A63" s="19">
        <v>6.1449999999999996</v>
      </c>
      <c r="B63" s="19">
        <v>6.86</v>
      </c>
      <c r="C63" s="20">
        <v>19.7</v>
      </c>
      <c r="D63" s="20">
        <v>489300</v>
      </c>
      <c r="E63" s="21">
        <f t="shared" si="0"/>
        <v>488989.78151673503</v>
      </c>
      <c r="G63" s="21">
        <f t="shared" si="1"/>
        <v>-310.21848326496547</v>
      </c>
      <c r="H63" s="21">
        <f t="shared" si="2"/>
        <v>96235.507359215655</v>
      </c>
      <c r="K63" s="21">
        <f t="shared" si="3"/>
        <v>310.21848326496547</v>
      </c>
      <c r="L63" s="22">
        <f t="shared" si="4"/>
        <v>6.3400466639069173E-4</v>
      </c>
    </row>
    <row r="64" spans="1:12" x14ac:dyDescent="0.3">
      <c r="A64" s="19">
        <v>5.9269999999999996</v>
      </c>
      <c r="B64" s="19">
        <v>9.2200000000000006</v>
      </c>
      <c r="C64" s="20">
        <v>19.7</v>
      </c>
      <c r="D64" s="20">
        <v>411600</v>
      </c>
      <c r="E64" s="21">
        <f t="shared" si="0"/>
        <v>444514.97151673498</v>
      </c>
      <c r="G64" s="21">
        <f t="shared" si="1"/>
        <v>32914.971516734979</v>
      </c>
      <c r="H64" s="21">
        <f t="shared" si="2"/>
        <v>1083395349.947475</v>
      </c>
      <c r="K64" s="21">
        <f t="shared" si="3"/>
        <v>32914.971516734979</v>
      </c>
      <c r="L64" s="22">
        <f t="shared" si="4"/>
        <v>7.996834673647954E-2</v>
      </c>
    </row>
    <row r="65" spans="1:12" x14ac:dyDescent="0.3">
      <c r="A65" s="19">
        <v>5.7409999999999997</v>
      </c>
      <c r="B65" s="19">
        <v>13.15</v>
      </c>
      <c r="C65" s="20">
        <v>19.7</v>
      </c>
      <c r="D65" s="20">
        <v>392700</v>
      </c>
      <c r="E65" s="21">
        <f t="shared" si="0"/>
        <v>385777.31151673506</v>
      </c>
      <c r="G65" s="21">
        <f t="shared" si="1"/>
        <v>-6922.6884832649375</v>
      </c>
      <c r="H65" s="21">
        <f t="shared" si="2"/>
        <v>47923615.836328998</v>
      </c>
      <c r="K65" s="21">
        <f t="shared" si="3"/>
        <v>6922.6884832649375</v>
      </c>
      <c r="L65" s="22">
        <f t="shared" si="4"/>
        <v>1.7628440242589603E-2</v>
      </c>
    </row>
    <row r="66" spans="1:12" x14ac:dyDescent="0.3">
      <c r="A66" s="19">
        <v>5.9660000000000002</v>
      </c>
      <c r="B66" s="19">
        <v>14.44</v>
      </c>
      <c r="C66" s="20">
        <v>19.7</v>
      </c>
      <c r="D66" s="20">
        <v>336000</v>
      </c>
      <c r="E66" s="21">
        <f t="shared" si="0"/>
        <v>391259.22651673498</v>
      </c>
      <c r="G66" s="21">
        <f t="shared" si="1"/>
        <v>55259.226516734983</v>
      </c>
      <c r="H66" s="21">
        <f t="shared" si="2"/>
        <v>3053582115.2278266</v>
      </c>
      <c r="K66" s="21">
        <f t="shared" si="3"/>
        <v>55259.226516734983</v>
      </c>
      <c r="L66" s="22">
        <f t="shared" si="4"/>
        <v>0.16446198368075887</v>
      </c>
    </row>
    <row r="67" spans="1:12" x14ac:dyDescent="0.3">
      <c r="A67" s="19">
        <v>6.4560000000000004</v>
      </c>
      <c r="B67" s="19">
        <v>6.73</v>
      </c>
      <c r="C67" s="20">
        <v>19.7</v>
      </c>
      <c r="D67" s="20">
        <v>466200</v>
      </c>
      <c r="E67" s="21">
        <f t="shared" si="0"/>
        <v>517321.86651673511</v>
      </c>
      <c r="G67" s="21">
        <f t="shared" si="1"/>
        <v>51121.866516735114</v>
      </c>
      <c r="H67" s="21">
        <f t="shared" si="2"/>
        <v>2613445236.1548829</v>
      </c>
      <c r="K67" s="21">
        <f t="shared" si="3"/>
        <v>51121.866516735114</v>
      </c>
      <c r="L67" s="22">
        <f t="shared" si="4"/>
        <v>0.10965651333491015</v>
      </c>
    </row>
    <row r="68" spans="1:12" x14ac:dyDescent="0.3">
      <c r="A68" s="19">
        <v>6.7619999999999996</v>
      </c>
      <c r="B68" s="19">
        <v>9.5</v>
      </c>
      <c r="C68" s="20">
        <v>19.7</v>
      </c>
      <c r="D68" s="20">
        <v>525000</v>
      </c>
      <c r="E68" s="21">
        <f t="shared" si="0"/>
        <v>513759.02651673503</v>
      </c>
      <c r="G68" s="21">
        <f t="shared" si="1"/>
        <v>-11240.97348326497</v>
      </c>
      <c r="H68" s="21">
        <f t="shared" si="2"/>
        <v>126359484.85146619</v>
      </c>
      <c r="K68" s="21">
        <f t="shared" si="3"/>
        <v>11240.97348326497</v>
      </c>
      <c r="L68" s="22">
        <f t="shared" si="4"/>
        <v>2.1411378063361849E-2</v>
      </c>
    </row>
    <row r="69" spans="1:12" x14ac:dyDescent="0.3">
      <c r="A69" s="19">
        <v>7.1040000000000001</v>
      </c>
      <c r="B69" s="19">
        <v>8.0500000000000007</v>
      </c>
      <c r="C69" s="20">
        <v>18.600000000000001</v>
      </c>
      <c r="D69" s="20">
        <v>693000</v>
      </c>
      <c r="E69" s="21">
        <f t="shared" si="0"/>
        <v>580536.50651673507</v>
      </c>
      <c r="G69" s="21">
        <f t="shared" si="1"/>
        <v>-112463.49348326493</v>
      </c>
      <c r="H69" s="21">
        <f t="shared" si="2"/>
        <v>12648037366.460373</v>
      </c>
      <c r="K69" s="21">
        <f t="shared" si="3"/>
        <v>112463.49348326493</v>
      </c>
      <c r="L69" s="22">
        <f t="shared" si="4"/>
        <v>0.16228498338133468</v>
      </c>
    </row>
    <row r="70" spans="1:12" x14ac:dyDescent="0.3">
      <c r="A70" s="19">
        <v>6.29</v>
      </c>
      <c r="B70" s="19">
        <v>4.67</v>
      </c>
      <c r="C70" s="20">
        <v>16.100000000000001</v>
      </c>
      <c r="D70" s="20">
        <v>493500</v>
      </c>
      <c r="E70" s="21">
        <f t="shared" ref="E70:E133" si="5">415464.396516735+86565*(A70)-10849*(B70)-19492*(C70)</f>
        <v>595472.21651673503</v>
      </c>
      <c r="G70" s="21">
        <f t="shared" ref="G70:G133" si="6">E70-D70</f>
        <v>101972.21651673503</v>
      </c>
      <c r="H70" s="21">
        <f t="shared" ref="H70:H133" si="7">G70^2</f>
        <v>10398332941.33589</v>
      </c>
      <c r="K70" s="21">
        <f t="shared" ref="K70:K133" si="8">ABS(G70)</f>
        <v>101972.21651673503</v>
      </c>
      <c r="L70" s="22">
        <f t="shared" ref="L70:L133" si="9">ABS(G70/D70)</f>
        <v>0.20663063123958467</v>
      </c>
    </row>
    <row r="71" spans="1:12" x14ac:dyDescent="0.3">
      <c r="A71" s="19">
        <v>5.7869999999999999</v>
      </c>
      <c r="B71" s="19">
        <v>10.24</v>
      </c>
      <c r="C71" s="20">
        <v>16.100000000000001</v>
      </c>
      <c r="D71" s="20">
        <v>407400</v>
      </c>
      <c r="E71" s="21">
        <f t="shared" si="5"/>
        <v>491501.09151673497</v>
      </c>
      <c r="G71" s="21">
        <f t="shared" si="6"/>
        <v>84101.091516734974</v>
      </c>
      <c r="H71" s="21">
        <f t="shared" si="7"/>
        <v>7072993594.3062315</v>
      </c>
      <c r="K71" s="21">
        <f t="shared" si="8"/>
        <v>84101.091516734974</v>
      </c>
      <c r="L71" s="22">
        <f t="shared" si="9"/>
        <v>0.20643370524480847</v>
      </c>
    </row>
    <row r="72" spans="1:12" x14ac:dyDescent="0.3">
      <c r="A72" s="19">
        <v>5.8780000000000001</v>
      </c>
      <c r="B72" s="19">
        <v>8.1</v>
      </c>
      <c r="C72" s="20">
        <v>18.899999999999999</v>
      </c>
      <c r="D72" s="20">
        <v>462000</v>
      </c>
      <c r="E72" s="21">
        <f t="shared" si="5"/>
        <v>468017.76651673502</v>
      </c>
      <c r="G72" s="21">
        <f t="shared" si="6"/>
        <v>6017.7665167350206</v>
      </c>
      <c r="H72" s="21">
        <f t="shared" si="7"/>
        <v>36213513.849937141</v>
      </c>
      <c r="K72" s="21">
        <f t="shared" si="8"/>
        <v>6017.7665167350206</v>
      </c>
      <c r="L72" s="22">
        <f t="shared" si="9"/>
        <v>1.3025468650941603E-2</v>
      </c>
    </row>
    <row r="73" spans="1:12" x14ac:dyDescent="0.3">
      <c r="A73" s="19">
        <v>5.5940000000000003</v>
      </c>
      <c r="B73" s="19">
        <v>13.09</v>
      </c>
      <c r="C73" s="20">
        <v>18.899999999999999</v>
      </c>
      <c r="D73" s="20">
        <v>365400</v>
      </c>
      <c r="E73" s="21">
        <f t="shared" si="5"/>
        <v>389296.79651673505</v>
      </c>
      <c r="G73" s="21">
        <f t="shared" si="6"/>
        <v>23896.796516735048</v>
      </c>
      <c r="H73" s="21">
        <f t="shared" si="7"/>
        <v>571056883.76224029</v>
      </c>
      <c r="K73" s="21">
        <f t="shared" si="8"/>
        <v>23896.796516735048</v>
      </c>
      <c r="L73" s="22">
        <f t="shared" si="9"/>
        <v>6.5399005245580316E-2</v>
      </c>
    </row>
    <row r="74" spans="1:12" x14ac:dyDescent="0.3">
      <c r="A74" s="19">
        <v>5.8849999999999998</v>
      </c>
      <c r="B74" s="19">
        <v>8.7899999999999991</v>
      </c>
      <c r="C74" s="20">
        <v>18.899999999999999</v>
      </c>
      <c r="D74" s="20">
        <v>438900</v>
      </c>
      <c r="E74" s="21">
        <f t="shared" si="5"/>
        <v>461137.91151673504</v>
      </c>
      <c r="G74" s="21">
        <f t="shared" si="6"/>
        <v>22237.911516735039</v>
      </c>
      <c r="H74" s="21">
        <f t="shared" si="7"/>
        <v>494524708.6261369</v>
      </c>
      <c r="K74" s="21">
        <f t="shared" si="8"/>
        <v>22237.911516735039</v>
      </c>
      <c r="L74" s="22">
        <f t="shared" si="9"/>
        <v>5.0667376433663792E-2</v>
      </c>
    </row>
    <row r="75" spans="1:12" x14ac:dyDescent="0.3">
      <c r="A75" s="19">
        <v>6.4169999999999998</v>
      </c>
      <c r="B75" s="19">
        <v>6.72</v>
      </c>
      <c r="C75" s="20">
        <v>19.2</v>
      </c>
      <c r="D75" s="20">
        <v>508200</v>
      </c>
      <c r="E75" s="21">
        <f t="shared" si="5"/>
        <v>523800.32151673496</v>
      </c>
      <c r="G75" s="21">
        <f t="shared" si="6"/>
        <v>15600.321516734955</v>
      </c>
      <c r="H75" s="21">
        <f t="shared" si="7"/>
        <v>243370031.42550361</v>
      </c>
      <c r="K75" s="21">
        <f t="shared" si="8"/>
        <v>15600.321516734955</v>
      </c>
      <c r="L75" s="22">
        <f t="shared" si="9"/>
        <v>3.0697208809002275E-2</v>
      </c>
    </row>
    <row r="76" spans="1:12" x14ac:dyDescent="0.3">
      <c r="A76" s="19">
        <v>5.9610000000000003</v>
      </c>
      <c r="B76" s="19">
        <v>9.8800000000000008</v>
      </c>
      <c r="C76" s="20">
        <v>19.2</v>
      </c>
      <c r="D76" s="20">
        <v>455700</v>
      </c>
      <c r="E76" s="21">
        <f t="shared" si="5"/>
        <v>450043.84151673509</v>
      </c>
      <c r="G76" s="21">
        <f t="shared" si="6"/>
        <v>-5656.1584832649096</v>
      </c>
      <c r="H76" s="21">
        <f t="shared" si="7"/>
        <v>31992128.787809603</v>
      </c>
      <c r="K76" s="21">
        <f t="shared" si="8"/>
        <v>5656.1584832649096</v>
      </c>
      <c r="L76" s="22">
        <f t="shared" si="9"/>
        <v>1.2412022126980272E-2</v>
      </c>
    </row>
    <row r="77" spans="1:12" x14ac:dyDescent="0.3">
      <c r="A77" s="19">
        <v>6.0650000000000004</v>
      </c>
      <c r="B77" s="19">
        <v>5.52</v>
      </c>
      <c r="C77" s="20">
        <v>19.2</v>
      </c>
      <c r="D77" s="20">
        <v>478800</v>
      </c>
      <c r="E77" s="21">
        <f t="shared" si="5"/>
        <v>506348.24151673511</v>
      </c>
      <c r="G77" s="21">
        <f t="shared" si="6"/>
        <v>27548.241516735114</v>
      </c>
      <c r="H77" s="21">
        <f t="shared" si="7"/>
        <v>758905610.66436815</v>
      </c>
      <c r="K77" s="21">
        <f t="shared" si="8"/>
        <v>27548.241516735114</v>
      </c>
      <c r="L77" s="22">
        <f t="shared" si="9"/>
        <v>5.7536009851159385E-2</v>
      </c>
    </row>
    <row r="78" spans="1:12" x14ac:dyDescent="0.3">
      <c r="A78" s="19">
        <v>6.2450000000000001</v>
      </c>
      <c r="B78" s="19">
        <v>7.54</v>
      </c>
      <c r="C78" s="20">
        <v>19.2</v>
      </c>
      <c r="D78" s="20">
        <v>491400</v>
      </c>
      <c r="E78" s="21">
        <f t="shared" si="5"/>
        <v>500014.96151673509</v>
      </c>
      <c r="G78" s="21">
        <f t="shared" si="6"/>
        <v>8614.9615167350858</v>
      </c>
      <c r="H78" s="21">
        <f t="shared" si="7"/>
        <v>74217561.934826493</v>
      </c>
      <c r="K78" s="21">
        <f t="shared" si="8"/>
        <v>8614.9615167350858</v>
      </c>
      <c r="L78" s="22">
        <f t="shared" si="9"/>
        <v>1.7531464218020116E-2</v>
      </c>
    </row>
    <row r="79" spans="1:12" x14ac:dyDescent="0.3">
      <c r="A79" s="19">
        <v>6.2729999999999997</v>
      </c>
      <c r="B79" s="19">
        <v>6.78</v>
      </c>
      <c r="C79" s="20">
        <v>18.7</v>
      </c>
      <c r="D79" s="20">
        <v>506100</v>
      </c>
      <c r="E79" s="21">
        <f t="shared" si="5"/>
        <v>520430.02151673514</v>
      </c>
      <c r="G79" s="21">
        <f t="shared" si="6"/>
        <v>14330.021516735142</v>
      </c>
      <c r="H79" s="21">
        <f t="shared" si="7"/>
        <v>205349516.67009214</v>
      </c>
      <c r="K79" s="21">
        <f t="shared" si="8"/>
        <v>14330.021516735142</v>
      </c>
      <c r="L79" s="22">
        <f t="shared" si="9"/>
        <v>2.8314604854248453E-2</v>
      </c>
    </row>
    <row r="80" spans="1:12" x14ac:dyDescent="0.3">
      <c r="A80" s="19">
        <v>6.2859999999999996</v>
      </c>
      <c r="B80" s="19">
        <v>8.94</v>
      </c>
      <c r="C80" s="20">
        <v>18.7</v>
      </c>
      <c r="D80" s="20">
        <v>449400</v>
      </c>
      <c r="E80" s="21">
        <f t="shared" si="5"/>
        <v>498121.52651673503</v>
      </c>
      <c r="G80" s="21">
        <f t="shared" si="6"/>
        <v>48721.52651673503</v>
      </c>
      <c r="H80" s="21">
        <f t="shared" si="7"/>
        <v>2373787146.1209145</v>
      </c>
      <c r="K80" s="21">
        <f t="shared" si="8"/>
        <v>48721.52651673503</v>
      </c>
      <c r="L80" s="22">
        <f t="shared" si="9"/>
        <v>0.10841461174173349</v>
      </c>
    </row>
    <row r="81" spans="1:12" x14ac:dyDescent="0.3">
      <c r="A81" s="19">
        <v>6.2789999999999999</v>
      </c>
      <c r="B81" s="19">
        <v>11.97</v>
      </c>
      <c r="C81" s="20">
        <v>18.7</v>
      </c>
      <c r="D81" s="20">
        <v>420000</v>
      </c>
      <c r="E81" s="21">
        <f t="shared" si="5"/>
        <v>464643.10151673498</v>
      </c>
      <c r="G81" s="21">
        <f t="shared" si="6"/>
        <v>44643.101516734983</v>
      </c>
      <c r="H81" s="21">
        <f t="shared" si="7"/>
        <v>1993006513.0335054</v>
      </c>
      <c r="K81" s="21">
        <f t="shared" si="8"/>
        <v>44643.101516734983</v>
      </c>
      <c r="L81" s="22">
        <f t="shared" si="9"/>
        <v>0.10629309884936901</v>
      </c>
    </row>
    <row r="82" spans="1:12" x14ac:dyDescent="0.3">
      <c r="A82" s="19">
        <v>6.14</v>
      </c>
      <c r="B82" s="19">
        <v>10.27</v>
      </c>
      <c r="C82" s="20">
        <v>18.7</v>
      </c>
      <c r="D82" s="20">
        <v>436800</v>
      </c>
      <c r="E82" s="21">
        <f t="shared" si="5"/>
        <v>471053.86651673511</v>
      </c>
      <c r="G82" s="21">
        <f t="shared" si="6"/>
        <v>34253.866516735114</v>
      </c>
      <c r="H82" s="21">
        <f t="shared" si="7"/>
        <v>1173327371.346307</v>
      </c>
      <c r="K82" s="21">
        <f t="shared" si="8"/>
        <v>34253.866516735114</v>
      </c>
      <c r="L82" s="22">
        <f t="shared" si="9"/>
        <v>7.8420024076774522E-2</v>
      </c>
    </row>
    <row r="83" spans="1:12" x14ac:dyDescent="0.3">
      <c r="A83" s="19">
        <v>6.2320000000000002</v>
      </c>
      <c r="B83" s="19">
        <v>12.34</v>
      </c>
      <c r="C83" s="20">
        <v>18.7</v>
      </c>
      <c r="D83" s="20">
        <v>445200</v>
      </c>
      <c r="E83" s="21">
        <f t="shared" si="5"/>
        <v>456560.41651673504</v>
      </c>
      <c r="G83" s="21">
        <f t="shared" si="6"/>
        <v>11360.416516735044</v>
      </c>
      <c r="H83" s="21">
        <f t="shared" si="7"/>
        <v>129059063.43370639</v>
      </c>
      <c r="K83" s="21">
        <f t="shared" si="8"/>
        <v>11360.416516735044</v>
      </c>
      <c r="L83" s="22">
        <f t="shared" si="9"/>
        <v>2.5517557315217976E-2</v>
      </c>
    </row>
    <row r="84" spans="1:12" x14ac:dyDescent="0.3">
      <c r="A84" s="19">
        <v>5.8739999999999997</v>
      </c>
      <c r="B84" s="19">
        <v>9.1</v>
      </c>
      <c r="C84" s="20">
        <v>18.7</v>
      </c>
      <c r="D84" s="20">
        <v>426300</v>
      </c>
      <c r="E84" s="21">
        <f t="shared" si="5"/>
        <v>460720.90651673503</v>
      </c>
      <c r="G84" s="21">
        <f t="shared" si="6"/>
        <v>34420.906516735035</v>
      </c>
      <c r="H84" s="21">
        <f t="shared" si="7"/>
        <v>1184798805.4338124</v>
      </c>
      <c r="K84" s="21">
        <f t="shared" si="8"/>
        <v>34420.906516735035</v>
      </c>
      <c r="L84" s="22">
        <f t="shared" si="9"/>
        <v>8.0743388498088278E-2</v>
      </c>
    </row>
    <row r="85" spans="1:12" x14ac:dyDescent="0.3">
      <c r="A85" s="19">
        <v>6.7270000000000003</v>
      </c>
      <c r="B85" s="19">
        <v>5.29</v>
      </c>
      <c r="C85" s="20">
        <v>19</v>
      </c>
      <c r="D85" s="20">
        <v>588000</v>
      </c>
      <c r="E85" s="21">
        <f t="shared" si="5"/>
        <v>570047.94151673513</v>
      </c>
      <c r="G85" s="21">
        <f t="shared" si="6"/>
        <v>-17952.058483264875</v>
      </c>
      <c r="H85" s="21">
        <f t="shared" si="7"/>
        <v>322276403.78656232</v>
      </c>
      <c r="K85" s="21">
        <f t="shared" si="8"/>
        <v>17952.058483264875</v>
      </c>
      <c r="L85" s="22">
        <f t="shared" si="9"/>
        <v>3.0530711706232779E-2</v>
      </c>
    </row>
    <row r="86" spans="1:12" x14ac:dyDescent="0.3">
      <c r="A86" s="19">
        <v>6.6189999999999998</v>
      </c>
      <c r="B86" s="19">
        <v>7.22</v>
      </c>
      <c r="C86" s="20">
        <v>19</v>
      </c>
      <c r="D86" s="20">
        <v>501900</v>
      </c>
      <c r="E86" s="21">
        <f t="shared" si="5"/>
        <v>539760.35151673504</v>
      </c>
      <c r="G86" s="21">
        <f t="shared" si="6"/>
        <v>37860.351516735042</v>
      </c>
      <c r="H86" s="21">
        <f t="shared" si="7"/>
        <v>1433406216.9707413</v>
      </c>
      <c r="K86" s="21">
        <f t="shared" si="8"/>
        <v>37860.351516735042</v>
      </c>
      <c r="L86" s="22">
        <f t="shared" si="9"/>
        <v>7.5434053629677311E-2</v>
      </c>
    </row>
    <row r="87" spans="1:12" x14ac:dyDescent="0.3">
      <c r="A87" s="19">
        <v>6.3019999999999996</v>
      </c>
      <c r="B87" s="19">
        <v>6.72</v>
      </c>
      <c r="C87" s="20">
        <v>19</v>
      </c>
      <c r="D87" s="20">
        <v>520800</v>
      </c>
      <c r="E87" s="21">
        <f t="shared" si="5"/>
        <v>517743.74651673506</v>
      </c>
      <c r="G87" s="21">
        <f t="shared" si="6"/>
        <v>-3056.2534832649399</v>
      </c>
      <c r="H87" s="21">
        <f t="shared" si="7"/>
        <v>9340685.3539690785</v>
      </c>
      <c r="K87" s="21">
        <f t="shared" si="8"/>
        <v>3056.2534832649399</v>
      </c>
      <c r="L87" s="22">
        <f t="shared" si="9"/>
        <v>5.868382264333602E-3</v>
      </c>
    </row>
    <row r="88" spans="1:12" x14ac:dyDescent="0.3">
      <c r="A88" s="19">
        <v>6.1669999999999998</v>
      </c>
      <c r="B88" s="19">
        <v>7.51</v>
      </c>
      <c r="C88" s="20">
        <v>19</v>
      </c>
      <c r="D88" s="20">
        <v>480900</v>
      </c>
      <c r="E88" s="21">
        <f t="shared" si="5"/>
        <v>497486.76151673496</v>
      </c>
      <c r="G88" s="21">
        <f t="shared" si="6"/>
        <v>16586.761516734958</v>
      </c>
      <c r="H88" s="21">
        <f t="shared" si="7"/>
        <v>275120657.61303973</v>
      </c>
      <c r="K88" s="21">
        <f t="shared" si="8"/>
        <v>16586.761516734958</v>
      </c>
      <c r="L88" s="22">
        <f t="shared" si="9"/>
        <v>3.4491082380401245E-2</v>
      </c>
    </row>
    <row r="89" spans="1:12" x14ac:dyDescent="0.3">
      <c r="A89" s="19">
        <v>6.3890000000000002</v>
      </c>
      <c r="B89" s="19">
        <v>9.6199999999999992</v>
      </c>
      <c r="C89" s="20">
        <v>18.5</v>
      </c>
      <c r="D89" s="20">
        <v>501900</v>
      </c>
      <c r="E89" s="21">
        <f t="shared" si="5"/>
        <v>503558.80151673511</v>
      </c>
      <c r="G89" s="21">
        <f t="shared" si="6"/>
        <v>1658.8015167351114</v>
      </c>
      <c r="H89" s="21">
        <f t="shared" si="7"/>
        <v>2751622.4719227059</v>
      </c>
      <c r="K89" s="21">
        <f t="shared" si="8"/>
        <v>1658.8015167351114</v>
      </c>
      <c r="L89" s="22">
        <f t="shared" si="9"/>
        <v>3.3050438667764723E-3</v>
      </c>
    </row>
    <row r="90" spans="1:12" x14ac:dyDescent="0.3">
      <c r="A90" s="19">
        <v>6.63</v>
      </c>
      <c r="B90" s="19">
        <v>6.53</v>
      </c>
      <c r="C90" s="20">
        <v>18.5</v>
      </c>
      <c r="D90" s="20">
        <v>558600</v>
      </c>
      <c r="E90" s="21">
        <f t="shared" si="5"/>
        <v>557944.37651673495</v>
      </c>
      <c r="G90" s="21">
        <f t="shared" si="6"/>
        <v>-655.62348326505162</v>
      </c>
      <c r="H90" s="21">
        <f t="shared" si="7"/>
        <v>429842.15180859942</v>
      </c>
      <c r="K90" s="21">
        <f t="shared" si="8"/>
        <v>655.62348326505162</v>
      </c>
      <c r="L90" s="22">
        <f t="shared" si="9"/>
        <v>1.173690446231743E-3</v>
      </c>
    </row>
    <row r="91" spans="1:12" x14ac:dyDescent="0.3">
      <c r="A91" s="19">
        <v>6.0149999999999997</v>
      </c>
      <c r="B91" s="19">
        <v>12.86</v>
      </c>
      <c r="C91" s="20">
        <v>18.5</v>
      </c>
      <c r="D91" s="20">
        <v>472500</v>
      </c>
      <c r="E91" s="21">
        <f t="shared" si="5"/>
        <v>436032.73151673505</v>
      </c>
      <c r="G91" s="21">
        <f t="shared" si="6"/>
        <v>-36467.268483264954</v>
      </c>
      <c r="H91" s="21">
        <f t="shared" si="7"/>
        <v>1329861670.6305294</v>
      </c>
      <c r="K91" s="21">
        <f t="shared" si="8"/>
        <v>36467.268483264954</v>
      </c>
      <c r="L91" s="22">
        <f t="shared" si="9"/>
        <v>7.7179404197386142E-2</v>
      </c>
    </row>
    <row r="92" spans="1:12" x14ac:dyDescent="0.3">
      <c r="A92" s="19">
        <v>6.1210000000000004</v>
      </c>
      <c r="B92" s="19">
        <v>8.44</v>
      </c>
      <c r="C92" s="20">
        <v>18.5</v>
      </c>
      <c r="D92" s="20">
        <v>466200</v>
      </c>
      <c r="E92" s="21">
        <f t="shared" si="5"/>
        <v>493161.2015167349</v>
      </c>
      <c r="G92" s="21">
        <f t="shared" si="6"/>
        <v>26961.201516734902</v>
      </c>
      <c r="H92" s="21">
        <f t="shared" si="7"/>
        <v>726906387.22598839</v>
      </c>
      <c r="K92" s="21">
        <f t="shared" si="8"/>
        <v>26961.201516734902</v>
      </c>
      <c r="L92" s="22">
        <f t="shared" si="9"/>
        <v>5.7831835085231452E-2</v>
      </c>
    </row>
    <row r="93" spans="1:12" x14ac:dyDescent="0.3">
      <c r="A93" s="19">
        <v>7.0069999999999997</v>
      </c>
      <c r="B93" s="19">
        <v>5.5</v>
      </c>
      <c r="C93" s="20">
        <v>17.8</v>
      </c>
      <c r="D93" s="20">
        <v>495600</v>
      </c>
      <c r="E93" s="21">
        <f t="shared" si="5"/>
        <v>615398.25151673495</v>
      </c>
      <c r="G93" s="21">
        <f t="shared" si="6"/>
        <v>119798.25151673495</v>
      </c>
      <c r="H93" s="21">
        <f t="shared" si="7"/>
        <v>14351621066.466887</v>
      </c>
      <c r="K93" s="21">
        <f t="shared" si="8"/>
        <v>119798.25151673495</v>
      </c>
      <c r="L93" s="22">
        <f t="shared" si="9"/>
        <v>0.24172367134127309</v>
      </c>
    </row>
    <row r="94" spans="1:12" x14ac:dyDescent="0.3">
      <c r="A94" s="19">
        <v>7.0789999999999997</v>
      </c>
      <c r="B94" s="19">
        <v>5.7</v>
      </c>
      <c r="C94" s="20">
        <v>17.8</v>
      </c>
      <c r="D94" s="20">
        <v>602700</v>
      </c>
      <c r="E94" s="21">
        <f t="shared" si="5"/>
        <v>619461.13151673484</v>
      </c>
      <c r="G94" s="21">
        <f t="shared" si="6"/>
        <v>16761.131516734837</v>
      </c>
      <c r="H94" s="21">
        <f t="shared" si="7"/>
        <v>280935529.72128183</v>
      </c>
      <c r="K94" s="21">
        <f t="shared" si="8"/>
        <v>16761.131516734837</v>
      </c>
      <c r="L94" s="22">
        <f t="shared" si="9"/>
        <v>2.781007386217826E-2</v>
      </c>
    </row>
    <row r="95" spans="1:12" x14ac:dyDescent="0.3">
      <c r="A95" s="19">
        <v>6.4169999999999998</v>
      </c>
      <c r="B95" s="19">
        <v>8.81</v>
      </c>
      <c r="C95" s="20">
        <v>17.8</v>
      </c>
      <c r="D95" s="20">
        <v>474600</v>
      </c>
      <c r="E95" s="21">
        <f t="shared" si="5"/>
        <v>528414.71151673491</v>
      </c>
      <c r="G95" s="21">
        <f t="shared" si="6"/>
        <v>53814.711516734911</v>
      </c>
      <c r="H95" s="21">
        <f t="shared" si="7"/>
        <v>2896023175.6294012</v>
      </c>
      <c r="K95" s="21">
        <f t="shared" si="8"/>
        <v>53814.711516734911</v>
      </c>
      <c r="L95" s="22">
        <f t="shared" si="9"/>
        <v>0.11338961550091638</v>
      </c>
    </row>
    <row r="96" spans="1:12" x14ac:dyDescent="0.3">
      <c r="A96" s="19">
        <v>6.4050000000000002</v>
      </c>
      <c r="B96" s="19">
        <v>8.1999999999999993</v>
      </c>
      <c r="C96" s="20">
        <v>17.8</v>
      </c>
      <c r="D96" s="20">
        <v>462000</v>
      </c>
      <c r="E96" s="21">
        <f t="shared" si="5"/>
        <v>533993.82151673501</v>
      </c>
      <c r="G96" s="21">
        <f t="shared" si="6"/>
        <v>71993.821516735014</v>
      </c>
      <c r="H96" s="21">
        <f t="shared" si="7"/>
        <v>5183110336.583497</v>
      </c>
      <c r="K96" s="21">
        <f t="shared" si="8"/>
        <v>71993.821516735014</v>
      </c>
      <c r="L96" s="22">
        <f t="shared" si="9"/>
        <v>0.15583078250375543</v>
      </c>
    </row>
    <row r="97" spans="1:12" x14ac:dyDescent="0.3">
      <c r="A97" s="19">
        <v>6.4420000000000002</v>
      </c>
      <c r="B97" s="19">
        <v>8.16</v>
      </c>
      <c r="C97" s="20">
        <v>18.2</v>
      </c>
      <c r="D97" s="20">
        <v>480900</v>
      </c>
      <c r="E97" s="21">
        <f t="shared" si="5"/>
        <v>529833.88651673496</v>
      </c>
      <c r="G97" s="21">
        <f t="shared" si="6"/>
        <v>48933.886516734958</v>
      </c>
      <c r="H97" s="21">
        <f t="shared" si="7"/>
        <v>2394525249.6326952</v>
      </c>
      <c r="K97" s="21">
        <f t="shared" si="8"/>
        <v>48933.886516734958</v>
      </c>
      <c r="L97" s="22">
        <f t="shared" si="9"/>
        <v>0.10175480664740062</v>
      </c>
    </row>
    <row r="98" spans="1:12" x14ac:dyDescent="0.3">
      <c r="A98" s="19">
        <v>6.2110000000000003</v>
      </c>
      <c r="B98" s="19">
        <v>6.21</v>
      </c>
      <c r="C98" s="20">
        <v>18.2</v>
      </c>
      <c r="D98" s="20">
        <v>525000</v>
      </c>
      <c r="E98" s="21">
        <f t="shared" si="5"/>
        <v>530992.92151673511</v>
      </c>
      <c r="G98" s="21">
        <f t="shared" si="6"/>
        <v>5992.9215167351067</v>
      </c>
      <c r="H98" s="21">
        <f t="shared" si="7"/>
        <v>35915108.305746615</v>
      </c>
      <c r="K98" s="21">
        <f t="shared" si="8"/>
        <v>5992.9215167351067</v>
      </c>
      <c r="L98" s="22">
        <f t="shared" si="9"/>
        <v>1.1415088603304965E-2</v>
      </c>
    </row>
    <row r="99" spans="1:12" x14ac:dyDescent="0.3">
      <c r="A99" s="19">
        <v>6.2489999999999997</v>
      </c>
      <c r="B99" s="19">
        <v>10.59</v>
      </c>
      <c r="C99" s="20">
        <v>18.2</v>
      </c>
      <c r="D99" s="20">
        <v>432600</v>
      </c>
      <c r="E99" s="21">
        <f t="shared" si="5"/>
        <v>486763.77151673503</v>
      </c>
      <c r="G99" s="21">
        <f t="shared" si="6"/>
        <v>54163.771516735025</v>
      </c>
      <c r="H99" s="21">
        <f t="shared" si="7"/>
        <v>2933714144.9170766</v>
      </c>
      <c r="K99" s="21">
        <f t="shared" si="8"/>
        <v>54163.771516735025</v>
      </c>
      <c r="L99" s="22">
        <f t="shared" si="9"/>
        <v>0.12520520461566118</v>
      </c>
    </row>
    <row r="100" spans="1:12" x14ac:dyDescent="0.3">
      <c r="A100" s="19">
        <v>6.625</v>
      </c>
      <c r="B100" s="19">
        <v>6.65</v>
      </c>
      <c r="C100" s="20">
        <v>18</v>
      </c>
      <c r="D100" s="20">
        <v>596400</v>
      </c>
      <c r="E100" s="21">
        <f t="shared" si="5"/>
        <v>565955.67151673499</v>
      </c>
      <c r="G100" s="21">
        <f t="shared" si="6"/>
        <v>-30444.32848326501</v>
      </c>
      <c r="H100" s="21">
        <f t="shared" si="7"/>
        <v>926857136.79694116</v>
      </c>
      <c r="K100" s="21">
        <f t="shared" si="8"/>
        <v>30444.32848326501</v>
      </c>
      <c r="L100" s="22">
        <f t="shared" si="9"/>
        <v>5.1046828442764938E-2</v>
      </c>
    </row>
    <row r="101" spans="1:12" x14ac:dyDescent="0.3">
      <c r="A101" s="19">
        <v>6.1630000000000003</v>
      </c>
      <c r="B101" s="19">
        <v>11.34</v>
      </c>
      <c r="C101" s="20">
        <v>18</v>
      </c>
      <c r="D101" s="20">
        <v>449400</v>
      </c>
      <c r="E101" s="21">
        <f t="shared" si="5"/>
        <v>475080.83151673491</v>
      </c>
      <c r="G101" s="21">
        <f t="shared" si="6"/>
        <v>25680.831516734906</v>
      </c>
      <c r="H101" s="21">
        <f t="shared" si="7"/>
        <v>659505107.39092493</v>
      </c>
      <c r="K101" s="21">
        <f t="shared" si="8"/>
        <v>25680.831516734906</v>
      </c>
      <c r="L101" s="22">
        <f t="shared" si="9"/>
        <v>5.7144707424866284E-2</v>
      </c>
    </row>
    <row r="102" spans="1:12" x14ac:dyDescent="0.3">
      <c r="A102" s="19">
        <v>8.0690000000000008</v>
      </c>
      <c r="B102" s="19">
        <v>4.21</v>
      </c>
      <c r="C102" s="20">
        <v>18</v>
      </c>
      <c r="D102" s="20">
        <v>812700</v>
      </c>
      <c r="E102" s="21">
        <f t="shared" si="5"/>
        <v>717427.09151673503</v>
      </c>
      <c r="G102" s="21">
        <f t="shared" si="6"/>
        <v>-95272.908483264968</v>
      </c>
      <c r="H102" s="21">
        <f t="shared" si="7"/>
        <v>9076927090.8605824</v>
      </c>
      <c r="K102" s="21">
        <f t="shared" si="8"/>
        <v>95272.908483264968</v>
      </c>
      <c r="L102" s="22">
        <f t="shared" si="9"/>
        <v>0.11723010764521345</v>
      </c>
    </row>
    <row r="103" spans="1:12" x14ac:dyDescent="0.3">
      <c r="A103" s="19">
        <v>7.82</v>
      </c>
      <c r="B103" s="19">
        <v>3.57</v>
      </c>
      <c r="C103" s="20">
        <v>18</v>
      </c>
      <c r="D103" s="20">
        <v>919800</v>
      </c>
      <c r="E103" s="21">
        <f t="shared" si="5"/>
        <v>702815.76651673508</v>
      </c>
      <c r="G103" s="21">
        <f t="shared" si="6"/>
        <v>-216984.23348326492</v>
      </c>
      <c r="H103" s="21">
        <f t="shared" si="7"/>
        <v>47082157580.320023</v>
      </c>
      <c r="K103" s="21">
        <f t="shared" si="8"/>
        <v>216984.23348326492</v>
      </c>
      <c r="L103" s="22">
        <f t="shared" si="9"/>
        <v>0.23590371111466071</v>
      </c>
    </row>
    <row r="104" spans="1:12" x14ac:dyDescent="0.3">
      <c r="A104" s="19">
        <v>7.4160000000000004</v>
      </c>
      <c r="B104" s="19">
        <v>6.19</v>
      </c>
      <c r="C104" s="20">
        <v>18</v>
      </c>
      <c r="D104" s="20">
        <v>697200</v>
      </c>
      <c r="E104" s="21">
        <f t="shared" si="5"/>
        <v>639419.12651673495</v>
      </c>
      <c r="G104" s="21">
        <f t="shared" si="6"/>
        <v>-57780.873483265052</v>
      </c>
      <c r="H104" s="21">
        <f t="shared" si="7"/>
        <v>3338629340.4890823</v>
      </c>
      <c r="K104" s="21">
        <f t="shared" si="8"/>
        <v>57780.873483265052</v>
      </c>
      <c r="L104" s="22">
        <f t="shared" si="9"/>
        <v>8.2875607405715798E-2</v>
      </c>
    </row>
    <row r="105" spans="1:12" x14ac:dyDescent="0.3">
      <c r="A105" s="19">
        <v>6.7270000000000003</v>
      </c>
      <c r="B105" s="19">
        <v>9.42</v>
      </c>
      <c r="C105" s="20">
        <v>20.9</v>
      </c>
      <c r="D105" s="20">
        <v>577500</v>
      </c>
      <c r="E105" s="21">
        <f t="shared" si="5"/>
        <v>488206.77151673514</v>
      </c>
      <c r="G105" s="21">
        <f t="shared" si="6"/>
        <v>-89293.228483264858</v>
      </c>
      <c r="H105" s="21">
        <f t="shared" si="7"/>
        <v>7973280652.9645424</v>
      </c>
      <c r="K105" s="21">
        <f t="shared" si="8"/>
        <v>89293.228483264858</v>
      </c>
      <c r="L105" s="22">
        <f t="shared" si="9"/>
        <v>0.1546203090619305</v>
      </c>
    </row>
    <row r="106" spans="1:12" x14ac:dyDescent="0.3">
      <c r="A106" s="19">
        <v>6.7809999999999997</v>
      </c>
      <c r="B106" s="19">
        <v>7.67</v>
      </c>
      <c r="C106" s="20">
        <v>20.9</v>
      </c>
      <c r="D106" s="20">
        <v>556500</v>
      </c>
      <c r="E106" s="21">
        <f t="shared" si="5"/>
        <v>511867.03151673515</v>
      </c>
      <c r="G106" s="21">
        <f t="shared" si="6"/>
        <v>-44632.968483264849</v>
      </c>
      <c r="H106" s="21">
        <f t="shared" si="7"/>
        <v>1992101875.6281133</v>
      </c>
      <c r="K106" s="21">
        <f t="shared" si="8"/>
        <v>44632.968483264849</v>
      </c>
      <c r="L106" s="22">
        <f t="shared" si="9"/>
        <v>8.0202998172982654E-2</v>
      </c>
    </row>
    <row r="107" spans="1:12" x14ac:dyDescent="0.3">
      <c r="A107" s="19">
        <v>6.4050000000000002</v>
      </c>
      <c r="B107" s="19">
        <v>10.63</v>
      </c>
      <c r="C107" s="20">
        <v>20.9</v>
      </c>
      <c r="D107" s="20">
        <v>390600</v>
      </c>
      <c r="E107" s="21">
        <f t="shared" si="5"/>
        <v>447205.55151673517</v>
      </c>
      <c r="G107" s="21">
        <f t="shared" si="6"/>
        <v>56605.55151673517</v>
      </c>
      <c r="H107" s="21">
        <f t="shared" si="7"/>
        <v>3204188462.5137591</v>
      </c>
      <c r="K107" s="21">
        <f t="shared" si="8"/>
        <v>56605.55151673517</v>
      </c>
      <c r="L107" s="22">
        <f t="shared" si="9"/>
        <v>0.14491948672999275</v>
      </c>
    </row>
    <row r="108" spans="1:12" x14ac:dyDescent="0.3">
      <c r="A108" s="19">
        <v>6.1369999999999996</v>
      </c>
      <c r="B108" s="19">
        <v>13.44</v>
      </c>
      <c r="C108" s="20">
        <v>20.9</v>
      </c>
      <c r="D108" s="20">
        <v>405300</v>
      </c>
      <c r="E108" s="21">
        <f t="shared" si="5"/>
        <v>393520.44151673495</v>
      </c>
      <c r="G108" s="21">
        <f t="shared" si="6"/>
        <v>-11779.558483265049</v>
      </c>
      <c r="H108" s="21">
        <f t="shared" si="7"/>
        <v>138757998.06066158</v>
      </c>
      <c r="K108" s="21">
        <f t="shared" si="8"/>
        <v>11779.558483265049</v>
      </c>
      <c r="L108" s="22">
        <f t="shared" si="9"/>
        <v>2.9063800846940661E-2</v>
      </c>
    </row>
    <row r="109" spans="1:12" x14ac:dyDescent="0.3">
      <c r="A109" s="19">
        <v>6.1669999999999998</v>
      </c>
      <c r="B109" s="19">
        <v>12.33</v>
      </c>
      <c r="C109" s="20">
        <v>20.9</v>
      </c>
      <c r="D109" s="20">
        <v>422100</v>
      </c>
      <c r="E109" s="21">
        <f t="shared" si="5"/>
        <v>408159.78151673492</v>
      </c>
      <c r="G109" s="21">
        <f t="shared" si="6"/>
        <v>-13940.218483265082</v>
      </c>
      <c r="H109" s="21">
        <f t="shared" si="7"/>
        <v>194329691.36116543</v>
      </c>
      <c r="K109" s="21">
        <f t="shared" si="8"/>
        <v>13940.218483265082</v>
      </c>
      <c r="L109" s="22">
        <f t="shared" si="9"/>
        <v>3.3025867053459092E-2</v>
      </c>
    </row>
    <row r="110" spans="1:12" x14ac:dyDescent="0.3">
      <c r="A110" s="19">
        <v>5.851</v>
      </c>
      <c r="B110" s="19">
        <v>16.47</v>
      </c>
      <c r="C110" s="20">
        <v>20.9</v>
      </c>
      <c r="D110" s="20">
        <v>409500</v>
      </c>
      <c r="E110" s="21">
        <f t="shared" si="5"/>
        <v>335890.38151673501</v>
      </c>
      <c r="G110" s="21">
        <f t="shared" si="6"/>
        <v>-73609.618483264989</v>
      </c>
      <c r="H110" s="21">
        <f t="shared" si="7"/>
        <v>5418375933.2518263</v>
      </c>
      <c r="K110" s="21">
        <f t="shared" si="8"/>
        <v>73609.618483264989</v>
      </c>
      <c r="L110" s="22">
        <f t="shared" si="9"/>
        <v>0.17975486809100119</v>
      </c>
    </row>
    <row r="111" spans="1:12" x14ac:dyDescent="0.3">
      <c r="A111" s="19">
        <v>5.8360000000000003</v>
      </c>
      <c r="B111" s="19">
        <v>18.66</v>
      </c>
      <c r="C111" s="20">
        <v>20.9</v>
      </c>
      <c r="D111" s="20">
        <v>409500</v>
      </c>
      <c r="E111" s="21">
        <f t="shared" si="5"/>
        <v>310832.5965167351</v>
      </c>
      <c r="G111" s="21">
        <f t="shared" si="6"/>
        <v>-98667.403483264905</v>
      </c>
      <c r="H111" s="21">
        <f t="shared" si="7"/>
        <v>9735256510.1293964</v>
      </c>
      <c r="K111" s="21">
        <f t="shared" si="8"/>
        <v>98667.403483264905</v>
      </c>
      <c r="L111" s="22">
        <f t="shared" si="9"/>
        <v>0.24094604025217314</v>
      </c>
    </row>
    <row r="112" spans="1:12" x14ac:dyDescent="0.3">
      <c r="A112" s="19">
        <v>6.1269999999999998</v>
      </c>
      <c r="B112" s="19">
        <v>14.09</v>
      </c>
      <c r="C112" s="20">
        <v>20.9</v>
      </c>
      <c r="D112" s="20">
        <v>428400</v>
      </c>
      <c r="E112" s="21">
        <f t="shared" si="5"/>
        <v>385602.94151673507</v>
      </c>
      <c r="G112" s="21">
        <f t="shared" si="6"/>
        <v>-42797.058483264933</v>
      </c>
      <c r="H112" s="21">
        <f t="shared" si="7"/>
        <v>1831588214.819999</v>
      </c>
      <c r="K112" s="21">
        <f t="shared" si="8"/>
        <v>42797.058483264933</v>
      </c>
      <c r="L112" s="22">
        <f t="shared" si="9"/>
        <v>9.989976303283131E-2</v>
      </c>
    </row>
    <row r="113" spans="1:12" x14ac:dyDescent="0.3">
      <c r="A113" s="19">
        <v>6.4740000000000002</v>
      </c>
      <c r="B113" s="19">
        <v>12.27</v>
      </c>
      <c r="C113" s="20">
        <v>20.9</v>
      </c>
      <c r="D113" s="20">
        <v>415800</v>
      </c>
      <c r="E113" s="21">
        <f t="shared" si="5"/>
        <v>435386.17651673505</v>
      </c>
      <c r="G113" s="21">
        <f t="shared" si="6"/>
        <v>19586.176516735053</v>
      </c>
      <c r="H113" s="21">
        <f t="shared" si="7"/>
        <v>383618310.54470366</v>
      </c>
      <c r="K113" s="21">
        <f t="shared" si="8"/>
        <v>19586.176516735053</v>
      </c>
      <c r="L113" s="22">
        <f t="shared" si="9"/>
        <v>4.7104801627549431E-2</v>
      </c>
    </row>
    <row r="114" spans="1:12" x14ac:dyDescent="0.3">
      <c r="A114" s="19">
        <v>6.2290000000000001</v>
      </c>
      <c r="B114" s="19">
        <v>15.55</v>
      </c>
      <c r="C114" s="20">
        <v>20.9</v>
      </c>
      <c r="D114" s="20">
        <v>407400</v>
      </c>
      <c r="E114" s="21">
        <f t="shared" si="5"/>
        <v>378593.03151673503</v>
      </c>
      <c r="G114" s="21">
        <f t="shared" si="6"/>
        <v>-28806.968483264965</v>
      </c>
      <c r="H114" s="21">
        <f t="shared" si="7"/>
        <v>829841433.19582105</v>
      </c>
      <c r="K114" s="21">
        <f t="shared" si="8"/>
        <v>28806.968483264965</v>
      </c>
      <c r="L114" s="22">
        <f t="shared" si="9"/>
        <v>7.0709299173453519E-2</v>
      </c>
    </row>
    <row r="115" spans="1:12" x14ac:dyDescent="0.3">
      <c r="A115" s="19">
        <v>6.1950000000000003</v>
      </c>
      <c r="B115" s="19">
        <v>13</v>
      </c>
      <c r="C115" s="20">
        <v>20.9</v>
      </c>
      <c r="D115" s="20">
        <v>455700</v>
      </c>
      <c r="E115" s="21">
        <f t="shared" si="5"/>
        <v>403314.77151673503</v>
      </c>
      <c r="G115" s="21">
        <f t="shared" si="6"/>
        <v>-52385.228483264975</v>
      </c>
      <c r="H115" s="21">
        <f t="shared" si="7"/>
        <v>2744212163.243876</v>
      </c>
      <c r="K115" s="21">
        <f t="shared" si="8"/>
        <v>52385.228483264975</v>
      </c>
      <c r="L115" s="22">
        <f t="shared" si="9"/>
        <v>0.11495551565342325</v>
      </c>
    </row>
    <row r="116" spans="1:12" x14ac:dyDescent="0.3">
      <c r="A116" s="19">
        <v>6.7149999999999999</v>
      </c>
      <c r="B116" s="19">
        <v>10.16</v>
      </c>
      <c r="C116" s="20">
        <v>17.8</v>
      </c>
      <c r="D116" s="20">
        <v>478800</v>
      </c>
      <c r="E116" s="21">
        <f t="shared" si="5"/>
        <v>539564.93151673512</v>
      </c>
      <c r="G116" s="21">
        <f t="shared" si="6"/>
        <v>60764.931516735116</v>
      </c>
      <c r="H116" s="21">
        <f t="shared" si="7"/>
        <v>3692376902.2335086</v>
      </c>
      <c r="K116" s="21">
        <f t="shared" si="8"/>
        <v>60764.931516735116</v>
      </c>
      <c r="L116" s="22">
        <f t="shared" si="9"/>
        <v>0.12691088453787619</v>
      </c>
    </row>
    <row r="117" spans="1:12" x14ac:dyDescent="0.3">
      <c r="A117" s="19">
        <v>5.9130000000000003</v>
      </c>
      <c r="B117" s="19">
        <v>16.21</v>
      </c>
      <c r="C117" s="20">
        <v>17.8</v>
      </c>
      <c r="D117" s="20">
        <v>394800</v>
      </c>
      <c r="E117" s="21">
        <f t="shared" si="5"/>
        <v>404503.35151673498</v>
      </c>
      <c r="G117" s="21">
        <f t="shared" si="6"/>
        <v>9703.3515167349833</v>
      </c>
      <c r="H117" s="21">
        <f t="shared" si="7"/>
        <v>94155030.657323107</v>
      </c>
      <c r="K117" s="21">
        <f t="shared" si="8"/>
        <v>9703.3515167349833</v>
      </c>
      <c r="L117" s="22">
        <f t="shared" si="9"/>
        <v>2.4577891379774529E-2</v>
      </c>
    </row>
    <row r="118" spans="1:12" x14ac:dyDescent="0.3">
      <c r="A118" s="19">
        <v>6.0919999999999996</v>
      </c>
      <c r="B118" s="19">
        <v>17.09</v>
      </c>
      <c r="C118" s="20">
        <v>17.8</v>
      </c>
      <c r="D118" s="20">
        <v>392700</v>
      </c>
      <c r="E118" s="21">
        <f t="shared" si="5"/>
        <v>410451.36651673488</v>
      </c>
      <c r="G118" s="21">
        <f t="shared" si="6"/>
        <v>17751.366516734881</v>
      </c>
      <c r="H118" s="21">
        <f t="shared" si="7"/>
        <v>315111013.21145624</v>
      </c>
      <c r="K118" s="21">
        <f t="shared" si="8"/>
        <v>17751.366516734881</v>
      </c>
      <c r="L118" s="22">
        <f t="shared" si="9"/>
        <v>4.5203377939228115E-2</v>
      </c>
    </row>
    <row r="119" spans="1:12" x14ac:dyDescent="0.3">
      <c r="A119" s="19">
        <v>6.2539999999999996</v>
      </c>
      <c r="B119" s="19">
        <v>10.45</v>
      </c>
      <c r="C119" s="20">
        <v>17.8</v>
      </c>
      <c r="D119" s="20">
        <v>388500</v>
      </c>
      <c r="E119" s="21">
        <f t="shared" si="5"/>
        <v>496512.25651673489</v>
      </c>
      <c r="G119" s="21">
        <f t="shared" si="6"/>
        <v>108012.25651673489</v>
      </c>
      <c r="H119" s="21">
        <f t="shared" si="7"/>
        <v>11666647557.836939</v>
      </c>
      <c r="K119" s="21">
        <f t="shared" si="8"/>
        <v>108012.25651673489</v>
      </c>
      <c r="L119" s="22">
        <f t="shared" si="9"/>
        <v>0.2780238262979019</v>
      </c>
    </row>
    <row r="120" spans="1:12" x14ac:dyDescent="0.3">
      <c r="A120" s="19">
        <v>5.9279999999999999</v>
      </c>
      <c r="B120" s="19">
        <v>15.76</v>
      </c>
      <c r="C120" s="20">
        <v>17.8</v>
      </c>
      <c r="D120" s="20">
        <v>384300</v>
      </c>
      <c r="E120" s="21">
        <f t="shared" si="5"/>
        <v>410683.87651673501</v>
      </c>
      <c r="G120" s="21">
        <f t="shared" si="6"/>
        <v>26383.876516735007</v>
      </c>
      <c r="H120" s="21">
        <f t="shared" si="7"/>
        <v>696108940.05032098</v>
      </c>
      <c r="K120" s="21">
        <f t="shared" si="8"/>
        <v>26383.876516735007</v>
      </c>
      <c r="L120" s="22">
        <f t="shared" si="9"/>
        <v>6.8654375531446807E-2</v>
      </c>
    </row>
    <row r="121" spans="1:12" x14ac:dyDescent="0.3">
      <c r="A121" s="19">
        <v>6.1760000000000002</v>
      </c>
      <c r="B121" s="19">
        <v>12.04</v>
      </c>
      <c r="C121" s="20">
        <v>17.8</v>
      </c>
      <c r="D121" s="20">
        <v>445200</v>
      </c>
      <c r="E121" s="21">
        <f t="shared" si="5"/>
        <v>472510.27651673515</v>
      </c>
      <c r="G121" s="21">
        <f t="shared" si="6"/>
        <v>27310.276516735146</v>
      </c>
      <c r="H121" s="21">
        <f t="shared" si="7"/>
        <v>745851203.42053521</v>
      </c>
      <c r="K121" s="21">
        <f t="shared" si="8"/>
        <v>27310.276516735146</v>
      </c>
      <c r="L121" s="22">
        <f t="shared" si="9"/>
        <v>6.1343837638668346E-2</v>
      </c>
    </row>
    <row r="122" spans="1:12" x14ac:dyDescent="0.3">
      <c r="A122" s="19">
        <v>6.0209999999999999</v>
      </c>
      <c r="B122" s="19">
        <v>10.3</v>
      </c>
      <c r="C122" s="20">
        <v>17.8</v>
      </c>
      <c r="D122" s="20">
        <v>403200</v>
      </c>
      <c r="E122" s="21">
        <f t="shared" si="5"/>
        <v>477969.96151673497</v>
      </c>
      <c r="G122" s="21">
        <f t="shared" si="6"/>
        <v>74769.961516734969</v>
      </c>
      <c r="H122" s="21">
        <f t="shared" si="7"/>
        <v>5590547145.2140284</v>
      </c>
      <c r="K122" s="21">
        <f t="shared" si="8"/>
        <v>74769.961516734969</v>
      </c>
      <c r="L122" s="22">
        <f t="shared" si="9"/>
        <v>0.18544137280936251</v>
      </c>
    </row>
    <row r="123" spans="1:12" x14ac:dyDescent="0.3">
      <c r="A123" s="19">
        <v>5.8719999999999999</v>
      </c>
      <c r="B123" s="19">
        <v>15.37</v>
      </c>
      <c r="C123" s="20">
        <v>17.8</v>
      </c>
      <c r="D123" s="20">
        <v>428400</v>
      </c>
      <c r="E123" s="21">
        <f t="shared" si="5"/>
        <v>410067.34651673498</v>
      </c>
      <c r="G123" s="21">
        <f t="shared" si="6"/>
        <v>-18332.653483265021</v>
      </c>
      <c r="H123" s="21">
        <f t="shared" si="7"/>
        <v>336086183.73746914</v>
      </c>
      <c r="K123" s="21">
        <f t="shared" si="8"/>
        <v>18332.653483265021</v>
      </c>
      <c r="L123" s="22">
        <f t="shared" si="9"/>
        <v>4.2793308784465502E-2</v>
      </c>
    </row>
    <row r="124" spans="1:12" x14ac:dyDescent="0.3">
      <c r="A124" s="19">
        <v>5.7309999999999999</v>
      </c>
      <c r="B124" s="19">
        <v>13.61</v>
      </c>
      <c r="C124" s="20">
        <v>17.8</v>
      </c>
      <c r="D124" s="20">
        <v>405300</v>
      </c>
      <c r="E124" s="21">
        <f t="shared" si="5"/>
        <v>416955.92151673505</v>
      </c>
      <c r="G124" s="21">
        <f t="shared" si="6"/>
        <v>11655.921516735048</v>
      </c>
      <c r="H124" s="21">
        <f t="shared" si="7"/>
        <v>135860506.40428707</v>
      </c>
      <c r="K124" s="21">
        <f t="shared" si="8"/>
        <v>11655.921516735048</v>
      </c>
      <c r="L124" s="22">
        <f t="shared" si="9"/>
        <v>2.8758750349704043E-2</v>
      </c>
    </row>
    <row r="125" spans="1:12" x14ac:dyDescent="0.3">
      <c r="A125" s="19">
        <v>5.87</v>
      </c>
      <c r="B125" s="19">
        <v>14.37</v>
      </c>
      <c r="C125" s="20">
        <v>19.100000000000001</v>
      </c>
      <c r="D125" s="20">
        <v>462000</v>
      </c>
      <c r="E125" s="21">
        <f t="shared" si="5"/>
        <v>395403.616516735</v>
      </c>
      <c r="G125" s="21">
        <f t="shared" si="6"/>
        <v>-66596.383483265003</v>
      </c>
      <c r="H125" s="21">
        <f t="shared" si="7"/>
        <v>4435078293.0500917</v>
      </c>
      <c r="K125" s="21">
        <f t="shared" si="8"/>
        <v>66596.383483265003</v>
      </c>
      <c r="L125" s="22">
        <f t="shared" si="9"/>
        <v>0.1441480161975433</v>
      </c>
    </row>
    <row r="126" spans="1:12" x14ac:dyDescent="0.3">
      <c r="A126" s="19">
        <v>6.0039999999999996</v>
      </c>
      <c r="B126" s="19">
        <v>14.27</v>
      </c>
      <c r="C126" s="20">
        <v>19.100000000000001</v>
      </c>
      <c r="D126" s="20">
        <v>426300</v>
      </c>
      <c r="E126" s="21">
        <f t="shared" si="5"/>
        <v>408088.22651673498</v>
      </c>
      <c r="G126" s="21">
        <f t="shared" si="6"/>
        <v>-18211.773483265017</v>
      </c>
      <c r="H126" s="21">
        <f t="shared" si="7"/>
        <v>331668693.4057548</v>
      </c>
      <c r="K126" s="21">
        <f t="shared" si="8"/>
        <v>18211.773483265017</v>
      </c>
      <c r="L126" s="22">
        <f t="shared" si="9"/>
        <v>4.2720557080143128E-2</v>
      </c>
    </row>
    <row r="127" spans="1:12" x14ac:dyDescent="0.3">
      <c r="A127" s="19">
        <v>5.9610000000000003</v>
      </c>
      <c r="B127" s="19">
        <v>17.93</v>
      </c>
      <c r="C127" s="20">
        <v>19.100000000000001</v>
      </c>
      <c r="D127" s="20">
        <v>430500</v>
      </c>
      <c r="E127" s="21">
        <f t="shared" si="5"/>
        <v>364658.59151673497</v>
      </c>
      <c r="G127" s="21">
        <f t="shared" si="6"/>
        <v>-65841.408483265026</v>
      </c>
      <c r="H127" s="21">
        <f t="shared" si="7"/>
        <v>4335091071.0601635</v>
      </c>
      <c r="K127" s="21">
        <f t="shared" si="8"/>
        <v>65841.408483265026</v>
      </c>
      <c r="L127" s="22">
        <f t="shared" si="9"/>
        <v>0.15294171540828114</v>
      </c>
    </row>
    <row r="128" spans="1:12" x14ac:dyDescent="0.3">
      <c r="A128" s="19">
        <v>5.8559999999999999</v>
      </c>
      <c r="B128" s="19">
        <v>25.41</v>
      </c>
      <c r="C128" s="20">
        <v>19.100000000000001</v>
      </c>
      <c r="D128" s="20">
        <v>363300</v>
      </c>
      <c r="E128" s="21">
        <f t="shared" si="5"/>
        <v>274418.746516735</v>
      </c>
      <c r="G128" s="21">
        <f t="shared" si="6"/>
        <v>-88881.253483264998</v>
      </c>
      <c r="H128" s="21">
        <f t="shared" si="7"/>
        <v>7899877220.7564068</v>
      </c>
      <c r="K128" s="21">
        <f t="shared" si="8"/>
        <v>88881.253483264998</v>
      </c>
      <c r="L128" s="22">
        <f t="shared" si="9"/>
        <v>0.24464974809596751</v>
      </c>
    </row>
    <row r="129" spans="1:12" x14ac:dyDescent="0.3">
      <c r="A129" s="19">
        <v>5.8789999999999996</v>
      </c>
      <c r="B129" s="19">
        <v>17.579999999999998</v>
      </c>
      <c r="C129" s="20">
        <v>19.100000000000001</v>
      </c>
      <c r="D129" s="20">
        <v>394800</v>
      </c>
      <c r="E129" s="21">
        <f t="shared" si="5"/>
        <v>361357.41151673504</v>
      </c>
      <c r="G129" s="21">
        <f t="shared" si="6"/>
        <v>-33442.588483264961</v>
      </c>
      <c r="H129" s="21">
        <f t="shared" si="7"/>
        <v>1118406724.4610062</v>
      </c>
      <c r="K129" s="21">
        <f t="shared" si="8"/>
        <v>33442.588483264961</v>
      </c>
      <c r="L129" s="22">
        <f t="shared" si="9"/>
        <v>8.4707670930255732E-2</v>
      </c>
    </row>
    <row r="130" spans="1:12" x14ac:dyDescent="0.3">
      <c r="A130" s="19">
        <v>5.9859999999999998</v>
      </c>
      <c r="B130" s="19">
        <v>14.81</v>
      </c>
      <c r="C130" s="20">
        <v>19.100000000000001</v>
      </c>
      <c r="D130" s="20">
        <v>449400</v>
      </c>
      <c r="E130" s="21">
        <f t="shared" si="5"/>
        <v>400671.5965167351</v>
      </c>
      <c r="G130" s="21">
        <f t="shared" si="6"/>
        <v>-48728.403483264905</v>
      </c>
      <c r="H130" s="21">
        <f t="shared" si="7"/>
        <v>2374457306.0278635</v>
      </c>
      <c r="K130" s="21">
        <f t="shared" si="8"/>
        <v>48728.403483264905</v>
      </c>
      <c r="L130" s="22">
        <f t="shared" si="9"/>
        <v>0.10842991429297932</v>
      </c>
    </row>
    <row r="131" spans="1:12" x14ac:dyDescent="0.3">
      <c r="A131" s="19">
        <v>5.6130000000000004</v>
      </c>
      <c r="B131" s="19">
        <v>27.26</v>
      </c>
      <c r="C131" s="20">
        <v>19.100000000000001</v>
      </c>
      <c r="D131" s="20">
        <v>329700</v>
      </c>
      <c r="E131" s="21">
        <f t="shared" si="5"/>
        <v>233312.80151673505</v>
      </c>
      <c r="G131" s="21">
        <f t="shared" si="6"/>
        <v>-96387.198483264947</v>
      </c>
      <c r="H131" s="21">
        <f t="shared" si="7"/>
        <v>9290492031.4523125</v>
      </c>
      <c r="K131" s="21">
        <f t="shared" si="8"/>
        <v>96387.198483264947</v>
      </c>
      <c r="L131" s="22">
        <f t="shared" si="9"/>
        <v>0.29234819072873808</v>
      </c>
    </row>
    <row r="132" spans="1:12" x14ac:dyDescent="0.3">
      <c r="A132" s="19">
        <v>5.6929999999999996</v>
      </c>
      <c r="B132" s="19">
        <v>17.190000000000001</v>
      </c>
      <c r="C132" s="20">
        <v>21.2</v>
      </c>
      <c r="D132" s="20">
        <v>340200</v>
      </c>
      <c r="E132" s="21">
        <f t="shared" si="5"/>
        <v>308554.23151673499</v>
      </c>
      <c r="G132" s="21">
        <f t="shared" si="6"/>
        <v>-31645.768483265012</v>
      </c>
      <c r="H132" s="21">
        <f t="shared" si="7"/>
        <v>1001454662.8964092</v>
      </c>
      <c r="K132" s="21">
        <f t="shared" si="8"/>
        <v>31645.768483265012</v>
      </c>
      <c r="L132" s="22">
        <f t="shared" si="9"/>
        <v>9.3021071379379816E-2</v>
      </c>
    </row>
    <row r="133" spans="1:12" x14ac:dyDescent="0.3">
      <c r="A133" s="19">
        <v>6.431</v>
      </c>
      <c r="B133" s="19">
        <v>15.39</v>
      </c>
      <c r="C133" s="20">
        <v>21.2</v>
      </c>
      <c r="D133" s="20">
        <v>378000</v>
      </c>
      <c r="E133" s="21">
        <f t="shared" si="5"/>
        <v>391967.40151673515</v>
      </c>
      <c r="G133" s="21">
        <f t="shared" si="6"/>
        <v>13967.401516735146</v>
      </c>
      <c r="H133" s="21">
        <f t="shared" si="7"/>
        <v>195088305.12969527</v>
      </c>
      <c r="K133" s="21">
        <f t="shared" si="8"/>
        <v>13967.401516735146</v>
      </c>
      <c r="L133" s="22">
        <f t="shared" si="9"/>
        <v>3.6950797663320496E-2</v>
      </c>
    </row>
    <row r="134" spans="1:12" x14ac:dyDescent="0.3">
      <c r="A134" s="19">
        <v>5.6369999999999996</v>
      </c>
      <c r="B134" s="19">
        <v>18.34</v>
      </c>
      <c r="C134" s="20">
        <v>21.2</v>
      </c>
      <c r="D134" s="20">
        <v>300300</v>
      </c>
      <c r="E134" s="21">
        <f t="shared" ref="E134:E197" si="10">415464.396516735+86565*(A134)-10849*(B134)-19492*(C134)</f>
        <v>291230.241516735</v>
      </c>
      <c r="G134" s="21">
        <f t="shared" ref="G134:G197" si="11">E134-D134</f>
        <v>-9069.7584832650027</v>
      </c>
      <c r="H134" s="21">
        <f t="shared" ref="H134:H197" si="12">G134^2</f>
        <v>82260518.944757476</v>
      </c>
      <c r="K134" s="21">
        <f t="shared" ref="K134:K197" si="13">ABS(G134)</f>
        <v>9069.7584832650027</v>
      </c>
      <c r="L134" s="22">
        <f t="shared" ref="L134:L197" si="14">ABS(G134/D134)</f>
        <v>3.020232595159841E-2</v>
      </c>
    </row>
    <row r="135" spans="1:12" x14ac:dyDescent="0.3">
      <c r="A135" s="19">
        <v>6.4580000000000002</v>
      </c>
      <c r="B135" s="19">
        <v>12.6</v>
      </c>
      <c r="C135" s="20">
        <v>21.2</v>
      </c>
      <c r="D135" s="20">
        <v>403200</v>
      </c>
      <c r="E135" s="21">
        <f t="shared" si="10"/>
        <v>424573.366516735</v>
      </c>
      <c r="G135" s="21">
        <f t="shared" si="11"/>
        <v>21373.366516734997</v>
      </c>
      <c r="H135" s="21">
        <f t="shared" si="12"/>
        <v>456820796.25868869</v>
      </c>
      <c r="K135" s="21">
        <f t="shared" si="13"/>
        <v>21373.366516734997</v>
      </c>
      <c r="L135" s="22">
        <f t="shared" si="14"/>
        <v>5.3009341559362592E-2</v>
      </c>
    </row>
    <row r="136" spans="1:12" x14ac:dyDescent="0.3">
      <c r="A136" s="19">
        <v>6.3259999999999996</v>
      </c>
      <c r="B136" s="19">
        <v>12.26</v>
      </c>
      <c r="C136" s="20">
        <v>21.2</v>
      </c>
      <c r="D136" s="20">
        <v>411600</v>
      </c>
      <c r="E136" s="21">
        <f t="shared" si="10"/>
        <v>416835.44651673496</v>
      </c>
      <c r="G136" s="21">
        <f t="shared" si="11"/>
        <v>5235.4465167349554</v>
      </c>
      <c r="H136" s="21">
        <f t="shared" si="12"/>
        <v>27409900.229592178</v>
      </c>
      <c r="K136" s="21">
        <f t="shared" si="13"/>
        <v>5235.4465167349554</v>
      </c>
      <c r="L136" s="22">
        <f t="shared" si="14"/>
        <v>1.2719743723845859E-2</v>
      </c>
    </row>
    <row r="137" spans="1:12" x14ac:dyDescent="0.3">
      <c r="A137" s="19">
        <v>6.3719999999999999</v>
      </c>
      <c r="B137" s="19">
        <v>11.12</v>
      </c>
      <c r="C137" s="20">
        <v>21.2</v>
      </c>
      <c r="D137" s="20">
        <v>483000</v>
      </c>
      <c r="E137" s="21">
        <f t="shared" si="10"/>
        <v>433185.29651673493</v>
      </c>
      <c r="G137" s="21">
        <f t="shared" si="11"/>
        <v>-49814.703483265068</v>
      </c>
      <c r="H137" s="21">
        <f t="shared" si="12"/>
        <v>2481504683.1256208</v>
      </c>
      <c r="K137" s="21">
        <f t="shared" si="13"/>
        <v>49814.703483265068</v>
      </c>
      <c r="L137" s="22">
        <f t="shared" si="14"/>
        <v>0.10313603205644942</v>
      </c>
    </row>
    <row r="138" spans="1:12" x14ac:dyDescent="0.3">
      <c r="A138" s="19">
        <v>5.8220000000000001</v>
      </c>
      <c r="B138" s="19">
        <v>15.03</v>
      </c>
      <c r="C138" s="20">
        <v>21.2</v>
      </c>
      <c r="D138" s="20">
        <v>386400</v>
      </c>
      <c r="E138" s="21">
        <f t="shared" si="10"/>
        <v>343154.95651673508</v>
      </c>
      <c r="G138" s="21">
        <f t="shared" si="11"/>
        <v>-43245.043483264919</v>
      </c>
      <c r="H138" s="21">
        <f t="shared" si="12"/>
        <v>1870133785.8694737</v>
      </c>
      <c r="K138" s="21">
        <f t="shared" si="13"/>
        <v>43245.043483264919</v>
      </c>
      <c r="L138" s="22">
        <f t="shared" si="14"/>
        <v>0.11191781439768354</v>
      </c>
    </row>
    <row r="139" spans="1:12" x14ac:dyDescent="0.3">
      <c r="A139" s="19">
        <v>5.7569999999999997</v>
      </c>
      <c r="B139" s="19">
        <v>17.309999999999999</v>
      </c>
      <c r="C139" s="20">
        <v>21.2</v>
      </c>
      <c r="D139" s="20">
        <v>327600</v>
      </c>
      <c r="E139" s="21">
        <f t="shared" si="10"/>
        <v>312792.51151673513</v>
      </c>
      <c r="G139" s="21">
        <f t="shared" si="11"/>
        <v>-14807.488483264868</v>
      </c>
      <c r="H139" s="21">
        <f t="shared" si="12"/>
        <v>219261715.18202168</v>
      </c>
      <c r="K139" s="21">
        <f t="shared" si="13"/>
        <v>14807.488483264868</v>
      </c>
      <c r="L139" s="22">
        <f t="shared" si="14"/>
        <v>4.5199903795069801E-2</v>
      </c>
    </row>
    <row r="140" spans="1:12" x14ac:dyDescent="0.3">
      <c r="A140" s="19">
        <v>6.335</v>
      </c>
      <c r="B140" s="19">
        <v>16.96</v>
      </c>
      <c r="C140" s="20">
        <v>21.2</v>
      </c>
      <c r="D140" s="20">
        <v>380100</v>
      </c>
      <c r="E140" s="21">
        <f t="shared" si="10"/>
        <v>366624.2315167351</v>
      </c>
      <c r="G140" s="21">
        <f t="shared" si="11"/>
        <v>-13475.768483264896</v>
      </c>
      <c r="H140" s="21">
        <f t="shared" si="12"/>
        <v>181596336.21455547</v>
      </c>
      <c r="K140" s="21">
        <f t="shared" si="13"/>
        <v>13475.768483264896</v>
      </c>
      <c r="L140" s="22">
        <f t="shared" si="14"/>
        <v>3.545321884573769E-2</v>
      </c>
    </row>
    <row r="141" spans="1:12" x14ac:dyDescent="0.3">
      <c r="A141" s="19">
        <v>5.9420000000000002</v>
      </c>
      <c r="B141" s="19">
        <v>16.899999999999999</v>
      </c>
      <c r="C141" s="20">
        <v>21.2</v>
      </c>
      <c r="D141" s="20">
        <v>365400</v>
      </c>
      <c r="E141" s="21">
        <f t="shared" si="10"/>
        <v>333255.12651673512</v>
      </c>
      <c r="G141" s="21">
        <f t="shared" si="11"/>
        <v>-32144.873483264877</v>
      </c>
      <c r="H141" s="21">
        <f t="shared" si="12"/>
        <v>1033292891.2551054</v>
      </c>
      <c r="K141" s="21">
        <f t="shared" si="13"/>
        <v>32144.873483264877</v>
      </c>
      <c r="L141" s="22">
        <f t="shared" si="14"/>
        <v>8.7971739144129382E-2</v>
      </c>
    </row>
    <row r="142" spans="1:12" x14ac:dyDescent="0.3">
      <c r="A142" s="19">
        <v>6.4539999999999997</v>
      </c>
      <c r="B142" s="19">
        <v>14.59</v>
      </c>
      <c r="C142" s="20">
        <v>21.2</v>
      </c>
      <c r="D142" s="20">
        <v>359100</v>
      </c>
      <c r="E142" s="21">
        <f t="shared" si="10"/>
        <v>402637.59651673498</v>
      </c>
      <c r="G142" s="21">
        <f t="shared" si="11"/>
        <v>43537.596516734979</v>
      </c>
      <c r="H142" s="21">
        <f t="shared" si="12"/>
        <v>1895522310.4540138</v>
      </c>
      <c r="K142" s="21">
        <f t="shared" si="13"/>
        <v>43537.596516734979</v>
      </c>
      <c r="L142" s="22">
        <f t="shared" si="14"/>
        <v>0.12124087027773595</v>
      </c>
    </row>
    <row r="143" spans="1:12" x14ac:dyDescent="0.3">
      <c r="A143" s="19">
        <v>5.8570000000000002</v>
      </c>
      <c r="B143" s="19">
        <v>21.32</v>
      </c>
      <c r="C143" s="20">
        <v>21.2</v>
      </c>
      <c r="D143" s="20">
        <v>279300</v>
      </c>
      <c r="E143" s="21">
        <f t="shared" si="10"/>
        <v>277944.52151673514</v>
      </c>
      <c r="G143" s="21">
        <f t="shared" si="11"/>
        <v>-1355.4784832648584</v>
      </c>
      <c r="H143" s="21">
        <f t="shared" si="12"/>
        <v>1837321.9185940009</v>
      </c>
      <c r="K143" s="21">
        <f t="shared" si="13"/>
        <v>1355.4784832648584</v>
      </c>
      <c r="L143" s="22">
        <f t="shared" si="14"/>
        <v>4.8531274015927621E-3</v>
      </c>
    </row>
    <row r="144" spans="1:12" x14ac:dyDescent="0.3">
      <c r="A144" s="19">
        <v>6.1509999999999998</v>
      </c>
      <c r="B144" s="19">
        <v>18.46</v>
      </c>
      <c r="C144" s="20">
        <v>21.2</v>
      </c>
      <c r="D144" s="20">
        <v>373800</v>
      </c>
      <c r="E144" s="21">
        <f t="shared" si="10"/>
        <v>334422.77151673491</v>
      </c>
      <c r="G144" s="21">
        <f t="shared" si="11"/>
        <v>-39377.228483265091</v>
      </c>
      <c r="H144" s="21">
        <f t="shared" si="12"/>
        <v>1550566123.0232637</v>
      </c>
      <c r="K144" s="21">
        <f t="shared" si="13"/>
        <v>39377.228483265091</v>
      </c>
      <c r="L144" s="22">
        <f t="shared" si="14"/>
        <v>0.10534304035116397</v>
      </c>
    </row>
    <row r="145" spans="1:12" x14ac:dyDescent="0.3">
      <c r="A145" s="19">
        <v>6.1740000000000004</v>
      </c>
      <c r="B145" s="19">
        <v>24.16</v>
      </c>
      <c r="C145" s="20">
        <v>21.2</v>
      </c>
      <c r="D145" s="20">
        <v>294000</v>
      </c>
      <c r="E145" s="21">
        <f t="shared" si="10"/>
        <v>274574.46651673509</v>
      </c>
      <c r="G145" s="21">
        <f t="shared" si="11"/>
        <v>-19425.53348326491</v>
      </c>
      <c r="H145" s="21">
        <f t="shared" si="12"/>
        <v>377351351.10944611</v>
      </c>
      <c r="K145" s="21">
        <f t="shared" si="13"/>
        <v>19425.53348326491</v>
      </c>
      <c r="L145" s="22">
        <f t="shared" si="14"/>
        <v>6.6073243140356841E-2</v>
      </c>
    </row>
    <row r="146" spans="1:12" x14ac:dyDescent="0.3">
      <c r="A146" s="19">
        <v>5.0190000000000001</v>
      </c>
      <c r="B146" s="19">
        <v>34.409999999999997</v>
      </c>
      <c r="C146" s="20">
        <v>21.2</v>
      </c>
      <c r="D146" s="20">
        <v>302400</v>
      </c>
      <c r="E146" s="21">
        <f t="shared" si="10"/>
        <v>63389.641516735137</v>
      </c>
      <c r="G146" s="21">
        <f t="shared" si="11"/>
        <v>-239010.35848326486</v>
      </c>
      <c r="H146" s="21">
        <f t="shared" si="12"/>
        <v>57125951462.298782</v>
      </c>
      <c r="K146" s="21">
        <f t="shared" si="13"/>
        <v>239010.35848326486</v>
      </c>
      <c r="L146" s="22">
        <f t="shared" si="14"/>
        <v>0.79037816958751606</v>
      </c>
    </row>
    <row r="147" spans="1:12" x14ac:dyDescent="0.3">
      <c r="A147" s="19">
        <v>5.4029999999999996</v>
      </c>
      <c r="B147" s="19">
        <v>26.82</v>
      </c>
      <c r="C147" s="20">
        <v>14.7</v>
      </c>
      <c r="D147" s="20">
        <v>281400</v>
      </c>
      <c r="E147" s="21">
        <f t="shared" si="10"/>
        <v>305672.51151673513</v>
      </c>
      <c r="G147" s="21">
        <f t="shared" si="11"/>
        <v>24272.511516735132</v>
      </c>
      <c r="H147" s="21">
        <f t="shared" si="12"/>
        <v>589154815.33003962</v>
      </c>
      <c r="K147" s="21">
        <f t="shared" si="13"/>
        <v>24272.511516735132</v>
      </c>
      <c r="L147" s="22">
        <f t="shared" si="14"/>
        <v>8.6256259832036719E-2</v>
      </c>
    </row>
    <row r="148" spans="1:12" x14ac:dyDescent="0.3">
      <c r="A148" s="19">
        <v>5.468</v>
      </c>
      <c r="B148" s="19">
        <v>26.42</v>
      </c>
      <c r="C148" s="20">
        <v>14.7</v>
      </c>
      <c r="D148" s="20">
        <v>327600</v>
      </c>
      <c r="E148" s="21">
        <f t="shared" si="10"/>
        <v>315638.83651673509</v>
      </c>
      <c r="G148" s="21">
        <f t="shared" si="11"/>
        <v>-11961.163483264914</v>
      </c>
      <c r="H148" s="21">
        <f t="shared" si="12"/>
        <v>143069431.87339005</v>
      </c>
      <c r="K148" s="21">
        <f t="shared" si="13"/>
        <v>11961.163483264914</v>
      </c>
      <c r="L148" s="22">
        <f t="shared" si="14"/>
        <v>3.6511488044154196E-2</v>
      </c>
    </row>
    <row r="149" spans="1:12" x14ac:dyDescent="0.3">
      <c r="A149" s="19">
        <v>4.9029999999999996</v>
      </c>
      <c r="B149" s="19">
        <v>29.29</v>
      </c>
      <c r="C149" s="20">
        <v>14.7</v>
      </c>
      <c r="D149" s="20">
        <v>247800</v>
      </c>
      <c r="E149" s="21">
        <f t="shared" si="10"/>
        <v>235592.9815167351</v>
      </c>
      <c r="G149" s="21">
        <f t="shared" si="11"/>
        <v>-12207.018483264896</v>
      </c>
      <c r="H149" s="21">
        <f t="shared" si="12"/>
        <v>149011300.25077081</v>
      </c>
      <c r="K149" s="21">
        <f t="shared" si="13"/>
        <v>12207.018483264896</v>
      </c>
      <c r="L149" s="22">
        <f t="shared" si="14"/>
        <v>4.9261575800100467E-2</v>
      </c>
    </row>
    <row r="150" spans="1:12" x14ac:dyDescent="0.3">
      <c r="A150" s="19">
        <v>6.13</v>
      </c>
      <c r="B150" s="19">
        <v>27.8</v>
      </c>
      <c r="C150" s="20">
        <v>14.7</v>
      </c>
      <c r="D150" s="20">
        <v>289800</v>
      </c>
      <c r="E150" s="21">
        <f t="shared" si="10"/>
        <v>357973.246516735</v>
      </c>
      <c r="G150" s="21">
        <f t="shared" si="11"/>
        <v>68173.246516735002</v>
      </c>
      <c r="H150" s="21">
        <f t="shared" si="12"/>
        <v>4647591540.6315212</v>
      </c>
      <c r="K150" s="21">
        <f t="shared" si="13"/>
        <v>68173.246516735002</v>
      </c>
      <c r="L150" s="22">
        <f t="shared" si="14"/>
        <v>0.23524239653807799</v>
      </c>
    </row>
    <row r="151" spans="1:12" x14ac:dyDescent="0.3">
      <c r="A151" s="19">
        <v>5.6280000000000001</v>
      </c>
      <c r="B151" s="19">
        <v>16.649999999999999</v>
      </c>
      <c r="C151" s="20">
        <v>14.7</v>
      </c>
      <c r="D151" s="20">
        <v>327600</v>
      </c>
      <c r="E151" s="21">
        <f t="shared" si="10"/>
        <v>435483.96651673509</v>
      </c>
      <c r="G151" s="21">
        <f t="shared" si="11"/>
        <v>107883.96651673509</v>
      </c>
      <c r="H151" s="21">
        <f t="shared" si="12"/>
        <v>11638950231.384018</v>
      </c>
      <c r="K151" s="21">
        <f t="shared" si="13"/>
        <v>107883.96651673509</v>
      </c>
      <c r="L151" s="22">
        <f t="shared" si="14"/>
        <v>0.32931613710847096</v>
      </c>
    </row>
    <row r="152" spans="1:12" x14ac:dyDescent="0.3">
      <c r="A152" s="19">
        <v>4.9260000000000002</v>
      </c>
      <c r="B152" s="19">
        <v>29.53</v>
      </c>
      <c r="C152" s="20">
        <v>14.7</v>
      </c>
      <c r="D152" s="20">
        <v>306600</v>
      </c>
      <c r="E152" s="21">
        <f t="shared" si="10"/>
        <v>234980.21651673503</v>
      </c>
      <c r="G152" s="21">
        <f t="shared" si="11"/>
        <v>-71619.783483264968</v>
      </c>
      <c r="H152" s="21">
        <f t="shared" si="12"/>
        <v>5129393386.1897535</v>
      </c>
      <c r="K152" s="21">
        <f t="shared" si="13"/>
        <v>71619.783483264968</v>
      </c>
      <c r="L152" s="22">
        <f t="shared" si="14"/>
        <v>0.23359355343530649</v>
      </c>
    </row>
    <row r="153" spans="1:12" x14ac:dyDescent="0.3">
      <c r="A153" s="19">
        <v>5.1859999999999999</v>
      </c>
      <c r="B153" s="19">
        <v>28.32</v>
      </c>
      <c r="C153" s="20">
        <v>14.7</v>
      </c>
      <c r="D153" s="20">
        <v>373800</v>
      </c>
      <c r="E153" s="21">
        <f t="shared" si="10"/>
        <v>270614.40651673515</v>
      </c>
      <c r="G153" s="21">
        <f t="shared" si="11"/>
        <v>-103185.59348326485</v>
      </c>
      <c r="H153" s="21">
        <f t="shared" si="12"/>
        <v>10647266702.493589</v>
      </c>
      <c r="K153" s="21">
        <f t="shared" si="13"/>
        <v>103185.59348326485</v>
      </c>
      <c r="L153" s="22">
        <f t="shared" si="14"/>
        <v>0.27604492638647632</v>
      </c>
    </row>
    <row r="154" spans="1:12" x14ac:dyDescent="0.3">
      <c r="A154" s="19">
        <v>5.5970000000000004</v>
      </c>
      <c r="B154" s="19">
        <v>21.45</v>
      </c>
      <c r="C154" s="20">
        <v>14.7</v>
      </c>
      <c r="D154" s="20">
        <v>323400</v>
      </c>
      <c r="E154" s="21">
        <f t="shared" si="10"/>
        <v>380725.25151673512</v>
      </c>
      <c r="G154" s="21">
        <f t="shared" si="11"/>
        <v>57325.251516735123</v>
      </c>
      <c r="H154" s="21">
        <f t="shared" si="12"/>
        <v>3286184461.4569426</v>
      </c>
      <c r="K154" s="21">
        <f t="shared" si="13"/>
        <v>57325.251516735123</v>
      </c>
      <c r="L154" s="22">
        <f t="shared" si="14"/>
        <v>0.17725804426943451</v>
      </c>
    </row>
    <row r="155" spans="1:12" x14ac:dyDescent="0.3">
      <c r="A155" s="19">
        <v>6.1219999999999999</v>
      </c>
      <c r="B155" s="19">
        <v>14.1</v>
      </c>
      <c r="C155" s="20">
        <v>14.7</v>
      </c>
      <c r="D155" s="20">
        <v>451500</v>
      </c>
      <c r="E155" s="21">
        <f t="shared" si="10"/>
        <v>505912.02651673491</v>
      </c>
      <c r="G155" s="21">
        <f t="shared" si="11"/>
        <v>54412.026516734913</v>
      </c>
      <c r="H155" s="21">
        <f t="shared" si="12"/>
        <v>2960668629.6578631</v>
      </c>
      <c r="K155" s="21">
        <f t="shared" si="13"/>
        <v>54412.026516734913</v>
      </c>
      <c r="L155" s="22">
        <f t="shared" si="14"/>
        <v>0.12051390147671077</v>
      </c>
    </row>
    <row r="156" spans="1:12" x14ac:dyDescent="0.3">
      <c r="A156" s="19">
        <v>5.4039999999999999</v>
      </c>
      <c r="B156" s="19">
        <v>13.28</v>
      </c>
      <c r="C156" s="20">
        <v>14.7</v>
      </c>
      <c r="D156" s="20">
        <v>411600</v>
      </c>
      <c r="E156" s="21">
        <f t="shared" si="10"/>
        <v>452654.53651673504</v>
      </c>
      <c r="G156" s="21">
        <f t="shared" si="11"/>
        <v>41054.536516735039</v>
      </c>
      <c r="H156" s="21">
        <f t="shared" si="12"/>
        <v>1685474968.6039307</v>
      </c>
      <c r="K156" s="21">
        <f t="shared" si="13"/>
        <v>41054.536516735039</v>
      </c>
      <c r="L156" s="22">
        <f t="shared" si="14"/>
        <v>9.9743771906547721E-2</v>
      </c>
    </row>
    <row r="157" spans="1:12" x14ac:dyDescent="0.3">
      <c r="A157" s="19">
        <v>5.0119999999999996</v>
      </c>
      <c r="B157" s="19">
        <v>12.12</v>
      </c>
      <c r="C157" s="20">
        <v>14.7</v>
      </c>
      <c r="D157" s="20">
        <v>321300</v>
      </c>
      <c r="E157" s="21">
        <f t="shared" si="10"/>
        <v>431305.89651673503</v>
      </c>
      <c r="G157" s="21">
        <f t="shared" si="11"/>
        <v>110005.89651673503</v>
      </c>
      <c r="H157" s="21">
        <f t="shared" si="12"/>
        <v>12101297268.450615</v>
      </c>
      <c r="K157" s="21">
        <f t="shared" si="13"/>
        <v>110005.89651673503</v>
      </c>
      <c r="L157" s="22">
        <f t="shared" si="14"/>
        <v>0.34237751794813265</v>
      </c>
    </row>
    <row r="158" spans="1:12" x14ac:dyDescent="0.3">
      <c r="A158" s="19">
        <v>5.7089999999999996</v>
      </c>
      <c r="B158" s="19">
        <v>15.79</v>
      </c>
      <c r="C158" s="20">
        <v>14.7</v>
      </c>
      <c r="D158" s="20">
        <v>407400</v>
      </c>
      <c r="E158" s="21">
        <f t="shared" si="10"/>
        <v>451825.871516735</v>
      </c>
      <c r="G158" s="21">
        <f t="shared" si="11"/>
        <v>44425.871516735002</v>
      </c>
      <c r="H158" s="21">
        <f t="shared" si="12"/>
        <v>1973658060.0214462</v>
      </c>
      <c r="K158" s="21">
        <f t="shared" si="13"/>
        <v>44425.871516735002</v>
      </c>
      <c r="L158" s="22">
        <f t="shared" si="14"/>
        <v>0.10904730367387089</v>
      </c>
    </row>
    <row r="159" spans="1:12" x14ac:dyDescent="0.3">
      <c r="A159" s="19">
        <v>6.1289999999999996</v>
      </c>
      <c r="B159" s="19">
        <v>15.12</v>
      </c>
      <c r="C159" s="20">
        <v>14.7</v>
      </c>
      <c r="D159" s="20">
        <v>357000</v>
      </c>
      <c r="E159" s="21">
        <f t="shared" si="10"/>
        <v>495452.00151673501</v>
      </c>
      <c r="G159" s="21">
        <f t="shared" si="11"/>
        <v>138452.00151673501</v>
      </c>
      <c r="H159" s="21">
        <f t="shared" si="12"/>
        <v>19168956723.989994</v>
      </c>
      <c r="K159" s="21">
        <f t="shared" si="13"/>
        <v>138452.00151673501</v>
      </c>
      <c r="L159" s="22">
        <f t="shared" si="14"/>
        <v>0.38782073253987398</v>
      </c>
    </row>
    <row r="160" spans="1:12" x14ac:dyDescent="0.3">
      <c r="A160" s="19">
        <v>6.1520000000000001</v>
      </c>
      <c r="B160" s="19">
        <v>15.02</v>
      </c>
      <c r="C160" s="20">
        <v>14.7</v>
      </c>
      <c r="D160" s="20">
        <v>327600</v>
      </c>
      <c r="E160" s="21">
        <f t="shared" si="10"/>
        <v>498527.89651673514</v>
      </c>
      <c r="G160" s="21">
        <f t="shared" si="11"/>
        <v>170927.89651673514</v>
      </c>
      <c r="H160" s="21">
        <f t="shared" si="12"/>
        <v>29216345807.635715</v>
      </c>
      <c r="K160" s="21">
        <f t="shared" si="13"/>
        <v>170927.89651673514</v>
      </c>
      <c r="L160" s="22">
        <f t="shared" si="14"/>
        <v>0.52175792587525993</v>
      </c>
    </row>
    <row r="161" spans="1:12" x14ac:dyDescent="0.3">
      <c r="A161" s="19">
        <v>5.2720000000000002</v>
      </c>
      <c r="B161" s="19">
        <v>16.14</v>
      </c>
      <c r="C161" s="20">
        <v>14.7</v>
      </c>
      <c r="D161" s="20">
        <v>275100</v>
      </c>
      <c r="E161" s="21">
        <f t="shared" si="10"/>
        <v>410199.81651673507</v>
      </c>
      <c r="G161" s="21">
        <f t="shared" si="11"/>
        <v>135099.81651673507</v>
      </c>
      <c r="H161" s="21">
        <f t="shared" si="12"/>
        <v>18251960422.85548</v>
      </c>
      <c r="K161" s="21">
        <f t="shared" si="13"/>
        <v>135099.81651673507</v>
      </c>
      <c r="L161" s="22">
        <f t="shared" si="14"/>
        <v>0.491093480613359</v>
      </c>
    </row>
    <row r="162" spans="1:12" x14ac:dyDescent="0.3">
      <c r="A162" s="19">
        <v>6.9429999999999996</v>
      </c>
      <c r="B162" s="19">
        <v>4.59</v>
      </c>
      <c r="C162" s="20">
        <v>14.7</v>
      </c>
      <c r="D162" s="20">
        <v>867300</v>
      </c>
      <c r="E162" s="21">
        <f t="shared" si="10"/>
        <v>680155.88151673484</v>
      </c>
      <c r="G162" s="21">
        <f t="shared" si="11"/>
        <v>-187144.11848326516</v>
      </c>
      <c r="H162" s="21">
        <f t="shared" si="12"/>
        <v>35022921082.878387</v>
      </c>
      <c r="K162" s="21">
        <f t="shared" si="13"/>
        <v>187144.11848326516</v>
      </c>
      <c r="L162" s="22">
        <f t="shared" si="14"/>
        <v>0.21577783752250104</v>
      </c>
    </row>
    <row r="163" spans="1:12" x14ac:dyDescent="0.3">
      <c r="A163" s="19">
        <v>6.0659999999999998</v>
      </c>
      <c r="B163" s="19">
        <v>6.43</v>
      </c>
      <c r="C163" s="20">
        <v>14.7</v>
      </c>
      <c r="D163" s="20">
        <v>510300</v>
      </c>
      <c r="E163" s="21">
        <f t="shared" si="10"/>
        <v>584276.21651673503</v>
      </c>
      <c r="G163" s="21">
        <f t="shared" si="11"/>
        <v>73976.216516735032</v>
      </c>
      <c r="H163" s="21">
        <f t="shared" si="12"/>
        <v>5472480610.1308613</v>
      </c>
      <c r="K163" s="21">
        <f t="shared" si="13"/>
        <v>73976.216516735032</v>
      </c>
      <c r="L163" s="22">
        <f t="shared" si="14"/>
        <v>0.14496613074022149</v>
      </c>
    </row>
    <row r="164" spans="1:12" x14ac:dyDescent="0.3">
      <c r="A164" s="19">
        <v>6.51</v>
      </c>
      <c r="B164" s="19">
        <v>7.39</v>
      </c>
      <c r="C164" s="20">
        <v>14.7</v>
      </c>
      <c r="D164" s="20">
        <v>489300</v>
      </c>
      <c r="E164" s="21">
        <f t="shared" si="10"/>
        <v>612296.0365167351</v>
      </c>
      <c r="G164" s="21">
        <f t="shared" si="11"/>
        <v>122996.0365167351</v>
      </c>
      <c r="H164" s="21">
        <f t="shared" si="12"/>
        <v>15128024998.826033</v>
      </c>
      <c r="K164" s="21">
        <f t="shared" si="13"/>
        <v>122996.0365167351</v>
      </c>
      <c r="L164" s="22">
        <f t="shared" si="14"/>
        <v>0.25137142145255487</v>
      </c>
    </row>
    <row r="165" spans="1:12" x14ac:dyDescent="0.3">
      <c r="A165" s="19">
        <v>6.25</v>
      </c>
      <c r="B165" s="19">
        <v>5.5</v>
      </c>
      <c r="C165" s="20">
        <v>14.7</v>
      </c>
      <c r="D165" s="20">
        <v>567000</v>
      </c>
      <c r="E165" s="21">
        <f t="shared" si="10"/>
        <v>610293.74651673506</v>
      </c>
      <c r="G165" s="21">
        <f t="shared" si="11"/>
        <v>43293.74651673506</v>
      </c>
      <c r="H165" s="21">
        <f t="shared" si="12"/>
        <v>1874348487.4553092</v>
      </c>
      <c r="K165" s="21">
        <f t="shared" si="13"/>
        <v>43293.74651673506</v>
      </c>
      <c r="L165" s="22">
        <f t="shared" si="14"/>
        <v>7.6355813962495703E-2</v>
      </c>
    </row>
    <row r="166" spans="1:12" x14ac:dyDescent="0.3">
      <c r="A166" s="19">
        <v>5.8540000000000001</v>
      </c>
      <c r="B166" s="19">
        <v>11.64</v>
      </c>
      <c r="C166" s="20">
        <v>14.7</v>
      </c>
      <c r="D166" s="20">
        <v>476700</v>
      </c>
      <c r="E166" s="21">
        <f t="shared" si="10"/>
        <v>509401.14651673503</v>
      </c>
      <c r="G166" s="21">
        <f t="shared" si="11"/>
        <v>32701.146516735025</v>
      </c>
      <c r="H166" s="21">
        <f t="shared" si="12"/>
        <v>1069364983.5089712</v>
      </c>
      <c r="K166" s="21">
        <f t="shared" si="13"/>
        <v>32701.146516735025</v>
      </c>
      <c r="L166" s="22">
        <f t="shared" si="14"/>
        <v>6.8599006747923269E-2</v>
      </c>
    </row>
    <row r="167" spans="1:12" x14ac:dyDescent="0.3">
      <c r="A167" s="19">
        <v>6.101</v>
      </c>
      <c r="B167" s="19">
        <v>9.81</v>
      </c>
      <c r="C167" s="20">
        <v>14.7</v>
      </c>
      <c r="D167" s="20">
        <v>525000</v>
      </c>
      <c r="E167" s="21">
        <f t="shared" si="10"/>
        <v>550636.37151673506</v>
      </c>
      <c r="G167" s="21">
        <f t="shared" si="11"/>
        <v>25636.37151673506</v>
      </c>
      <c r="H167" s="21">
        <f t="shared" si="12"/>
        <v>657223544.54406464</v>
      </c>
      <c r="K167" s="21">
        <f t="shared" si="13"/>
        <v>25636.37151673506</v>
      </c>
      <c r="L167" s="22">
        <f t="shared" si="14"/>
        <v>4.8831183841400116E-2</v>
      </c>
    </row>
    <row r="168" spans="1:12" x14ac:dyDescent="0.3">
      <c r="A168" s="19">
        <v>5.8769999999999998</v>
      </c>
      <c r="B168" s="19">
        <v>12.14</v>
      </c>
      <c r="C168" s="20">
        <v>14.7</v>
      </c>
      <c r="D168" s="20">
        <v>499800</v>
      </c>
      <c r="E168" s="21">
        <f t="shared" si="10"/>
        <v>505967.64151673514</v>
      </c>
      <c r="G168" s="21">
        <f t="shared" si="11"/>
        <v>6167.641516735137</v>
      </c>
      <c r="H168" s="21">
        <f t="shared" si="12"/>
        <v>38039801.878954902</v>
      </c>
      <c r="K168" s="21">
        <f t="shared" si="13"/>
        <v>6167.641516735137</v>
      </c>
      <c r="L168" s="22">
        <f t="shared" si="14"/>
        <v>1.2340219121118722E-2</v>
      </c>
    </row>
    <row r="169" spans="1:12" x14ac:dyDescent="0.3">
      <c r="A169" s="19">
        <v>6.319</v>
      </c>
      <c r="B169" s="19">
        <v>11.1</v>
      </c>
      <c r="C169" s="20">
        <v>14.7</v>
      </c>
      <c r="D169" s="20">
        <v>499800</v>
      </c>
      <c r="E169" s="21">
        <f t="shared" si="10"/>
        <v>555512.33151673502</v>
      </c>
      <c r="G169" s="21">
        <f t="shared" si="11"/>
        <v>55712.331516735023</v>
      </c>
      <c r="H169" s="21">
        <f t="shared" si="12"/>
        <v>3103863883.0305867</v>
      </c>
      <c r="K169" s="21">
        <f t="shared" si="13"/>
        <v>55712.331516735023</v>
      </c>
      <c r="L169" s="22">
        <f t="shared" si="14"/>
        <v>0.11146925073376356</v>
      </c>
    </row>
    <row r="170" spans="1:12" x14ac:dyDescent="0.3">
      <c r="A170" s="19">
        <v>6.4020000000000001</v>
      </c>
      <c r="B170" s="19">
        <v>11.32</v>
      </c>
      <c r="C170" s="20">
        <v>14.7</v>
      </c>
      <c r="D170" s="20">
        <v>468300</v>
      </c>
      <c r="E170" s="21">
        <f t="shared" si="10"/>
        <v>560310.44651673501</v>
      </c>
      <c r="G170" s="21">
        <f t="shared" si="11"/>
        <v>92010.446516735014</v>
      </c>
      <c r="H170" s="21">
        <f t="shared" si="12"/>
        <v>8465922268.2089548</v>
      </c>
      <c r="K170" s="21">
        <f t="shared" si="13"/>
        <v>92010.446516735014</v>
      </c>
      <c r="L170" s="22">
        <f t="shared" si="14"/>
        <v>0.19647757103723043</v>
      </c>
    </row>
    <row r="171" spans="1:12" x14ac:dyDescent="0.3">
      <c r="A171" s="19">
        <v>5.875</v>
      </c>
      <c r="B171" s="19">
        <v>14.43</v>
      </c>
      <c r="C171" s="20">
        <v>14.7</v>
      </c>
      <c r="D171" s="20">
        <v>365400</v>
      </c>
      <c r="E171" s="21">
        <f t="shared" si="10"/>
        <v>480950.30151673494</v>
      </c>
      <c r="G171" s="21">
        <f t="shared" si="11"/>
        <v>115550.30151673494</v>
      </c>
      <c r="H171" s="21">
        <f t="shared" si="12"/>
        <v>13351872180.608356</v>
      </c>
      <c r="K171" s="21">
        <f t="shared" si="13"/>
        <v>115550.30151673494</v>
      </c>
      <c r="L171" s="22">
        <f t="shared" si="14"/>
        <v>0.31622961553567308</v>
      </c>
    </row>
    <row r="172" spans="1:12" x14ac:dyDescent="0.3">
      <c r="A172" s="19">
        <v>5.88</v>
      </c>
      <c r="B172" s="19">
        <v>12.03</v>
      </c>
      <c r="C172" s="20">
        <v>14.7</v>
      </c>
      <c r="D172" s="20">
        <v>401100</v>
      </c>
      <c r="E172" s="21">
        <f t="shared" si="10"/>
        <v>507420.7265167351</v>
      </c>
      <c r="G172" s="21">
        <f t="shared" si="11"/>
        <v>106320.7265167351</v>
      </c>
      <c r="H172" s="21">
        <f t="shared" si="12"/>
        <v>11304096887.046379</v>
      </c>
      <c r="K172" s="21">
        <f t="shared" si="13"/>
        <v>106320.7265167351</v>
      </c>
      <c r="L172" s="22">
        <f t="shared" si="14"/>
        <v>0.26507286591058365</v>
      </c>
    </row>
    <row r="173" spans="1:12" x14ac:dyDescent="0.3">
      <c r="A173" s="19">
        <v>5.5720000000000001</v>
      </c>
      <c r="B173" s="19">
        <v>14.69</v>
      </c>
      <c r="C173" s="20">
        <v>16.600000000000001</v>
      </c>
      <c r="D173" s="20">
        <v>485100</v>
      </c>
      <c r="E173" s="21">
        <f t="shared" si="10"/>
        <v>414865.56651673507</v>
      </c>
      <c r="G173" s="21">
        <f t="shared" si="11"/>
        <v>-70234.433483264933</v>
      </c>
      <c r="H173" s="21">
        <f t="shared" si="12"/>
        <v>4932875646.7151661</v>
      </c>
      <c r="K173" s="21">
        <f t="shared" si="13"/>
        <v>70234.433483264933</v>
      </c>
      <c r="L173" s="22">
        <f t="shared" si="14"/>
        <v>0.14478341266391451</v>
      </c>
    </row>
    <row r="174" spans="1:12" x14ac:dyDescent="0.3">
      <c r="A174" s="19">
        <v>6.4160000000000004</v>
      </c>
      <c r="B174" s="19">
        <v>9.0399999999999991</v>
      </c>
      <c r="C174" s="20">
        <v>16.600000000000001</v>
      </c>
      <c r="D174" s="20">
        <v>495600</v>
      </c>
      <c r="E174" s="21">
        <f t="shared" si="10"/>
        <v>549223.27651673509</v>
      </c>
      <c r="G174" s="21">
        <f t="shared" si="11"/>
        <v>53623.276516735088</v>
      </c>
      <c r="H174" s="21">
        <f t="shared" si="12"/>
        <v>2875455784.3902326</v>
      </c>
      <c r="K174" s="21">
        <f t="shared" si="13"/>
        <v>53623.276516735088</v>
      </c>
      <c r="L174" s="22">
        <f t="shared" si="14"/>
        <v>0.1081987016076172</v>
      </c>
    </row>
    <row r="175" spans="1:12" x14ac:dyDescent="0.3">
      <c r="A175" s="19">
        <v>5.859</v>
      </c>
      <c r="B175" s="19">
        <v>9.64</v>
      </c>
      <c r="C175" s="20">
        <v>16.600000000000001</v>
      </c>
      <c r="D175" s="20">
        <v>474600</v>
      </c>
      <c r="E175" s="21">
        <f t="shared" si="10"/>
        <v>494497.17151673505</v>
      </c>
      <c r="G175" s="21">
        <f t="shared" si="11"/>
        <v>19897.171516735048</v>
      </c>
      <c r="H175" s="21">
        <f t="shared" si="12"/>
        <v>395897434.36637253</v>
      </c>
      <c r="K175" s="21">
        <f t="shared" si="13"/>
        <v>19897.171516735048</v>
      </c>
      <c r="L175" s="22">
        <f t="shared" si="14"/>
        <v>4.1924086634502838E-2</v>
      </c>
    </row>
    <row r="176" spans="1:12" x14ac:dyDescent="0.3">
      <c r="A176" s="19">
        <v>6.5460000000000003</v>
      </c>
      <c r="B176" s="19">
        <v>5.33</v>
      </c>
      <c r="C176" s="20">
        <v>16.600000000000001</v>
      </c>
      <c r="D176" s="20">
        <v>617400</v>
      </c>
      <c r="E176" s="21">
        <f t="shared" si="10"/>
        <v>600726.51651673485</v>
      </c>
      <c r="G176" s="21">
        <f t="shared" si="11"/>
        <v>-16673.483483265154</v>
      </c>
      <c r="H176" s="21">
        <f t="shared" si="12"/>
        <v>278005051.46671587</v>
      </c>
      <c r="K176" s="21">
        <f t="shared" si="13"/>
        <v>16673.483483265154</v>
      </c>
      <c r="L176" s="22">
        <f t="shared" si="14"/>
        <v>2.7005966121258752E-2</v>
      </c>
    </row>
    <row r="177" spans="1:12" x14ac:dyDescent="0.3">
      <c r="A177" s="19">
        <v>6.02</v>
      </c>
      <c r="B177" s="19">
        <v>10.11</v>
      </c>
      <c r="C177" s="20">
        <v>16.600000000000001</v>
      </c>
      <c r="D177" s="20">
        <v>487200</v>
      </c>
      <c r="E177" s="21">
        <f t="shared" si="10"/>
        <v>503335.10651673499</v>
      </c>
      <c r="G177" s="21">
        <f t="shared" si="11"/>
        <v>16135.106516734988</v>
      </c>
      <c r="H177" s="21">
        <f t="shared" si="12"/>
        <v>260341662.30638388</v>
      </c>
      <c r="K177" s="21">
        <f t="shared" si="13"/>
        <v>16135.106516734988</v>
      </c>
      <c r="L177" s="22">
        <f t="shared" si="14"/>
        <v>3.3118034722362452E-2</v>
      </c>
    </row>
    <row r="178" spans="1:12" x14ac:dyDescent="0.3">
      <c r="A178" s="19">
        <v>6.3150000000000004</v>
      </c>
      <c r="B178" s="19">
        <v>6.29</v>
      </c>
      <c r="C178" s="20">
        <v>16.600000000000001</v>
      </c>
      <c r="D178" s="20">
        <v>516600</v>
      </c>
      <c r="E178" s="21">
        <f t="shared" si="10"/>
        <v>570314.96151673514</v>
      </c>
      <c r="G178" s="21">
        <f t="shared" si="11"/>
        <v>53714.961516735144</v>
      </c>
      <c r="H178" s="21">
        <f t="shared" si="12"/>
        <v>2885297090.7443376</v>
      </c>
      <c r="K178" s="21">
        <f t="shared" si="13"/>
        <v>53714.961516735144</v>
      </c>
      <c r="L178" s="22">
        <f t="shared" si="14"/>
        <v>0.10397785814311875</v>
      </c>
    </row>
    <row r="179" spans="1:12" x14ac:dyDescent="0.3">
      <c r="A179" s="19">
        <v>6.86</v>
      </c>
      <c r="B179" s="19">
        <v>6.92</v>
      </c>
      <c r="C179" s="20">
        <v>16.600000000000001</v>
      </c>
      <c r="D179" s="20">
        <v>627900</v>
      </c>
      <c r="E179" s="21">
        <f t="shared" si="10"/>
        <v>610658.01651673508</v>
      </c>
      <c r="G179" s="21">
        <f t="shared" si="11"/>
        <v>-17241.983483264921</v>
      </c>
      <c r="H179" s="21">
        <f t="shared" si="12"/>
        <v>297285994.43718034</v>
      </c>
      <c r="K179" s="21">
        <f t="shared" si="13"/>
        <v>17241.983483264921</v>
      </c>
      <c r="L179" s="22">
        <f t="shared" si="14"/>
        <v>2.7459760285499159E-2</v>
      </c>
    </row>
    <row r="180" spans="1:12" x14ac:dyDescent="0.3">
      <c r="A180" s="19">
        <v>6.98</v>
      </c>
      <c r="B180" s="19">
        <v>5.04</v>
      </c>
      <c r="C180" s="20">
        <v>17.8</v>
      </c>
      <c r="D180" s="20">
        <v>781200</v>
      </c>
      <c r="E180" s="21">
        <f t="shared" si="10"/>
        <v>618051.5365167351</v>
      </c>
      <c r="G180" s="21">
        <f t="shared" si="11"/>
        <v>-163148.4634832649</v>
      </c>
      <c r="H180" s="21">
        <f t="shared" si="12"/>
        <v>26617421136.950222</v>
      </c>
      <c r="K180" s="21">
        <f t="shared" si="13"/>
        <v>163148.4634832649</v>
      </c>
      <c r="L180" s="22">
        <f t="shared" si="14"/>
        <v>0.20884339923613018</v>
      </c>
    </row>
    <row r="181" spans="1:12" x14ac:dyDescent="0.3">
      <c r="A181" s="19">
        <v>7.7649999999999997</v>
      </c>
      <c r="B181" s="19">
        <v>7.56</v>
      </c>
      <c r="C181" s="20">
        <v>17.8</v>
      </c>
      <c r="D181" s="20">
        <v>835800</v>
      </c>
      <c r="E181" s="21">
        <f t="shared" si="10"/>
        <v>658665.58151673502</v>
      </c>
      <c r="G181" s="21">
        <f t="shared" si="11"/>
        <v>-177134.41848326498</v>
      </c>
      <c r="H181" s="21">
        <f t="shared" si="12"/>
        <v>31376602211.404446</v>
      </c>
      <c r="K181" s="21">
        <f t="shared" si="13"/>
        <v>177134.41848326498</v>
      </c>
      <c r="L181" s="22">
        <f t="shared" si="14"/>
        <v>0.21193397760620361</v>
      </c>
    </row>
    <row r="182" spans="1:12" x14ac:dyDescent="0.3">
      <c r="A182" s="19">
        <v>6.1440000000000001</v>
      </c>
      <c r="B182" s="19">
        <v>9.4499999999999993</v>
      </c>
      <c r="C182" s="20">
        <v>17.8</v>
      </c>
      <c r="D182" s="20">
        <v>760200</v>
      </c>
      <c r="E182" s="21">
        <f t="shared" si="10"/>
        <v>497839.10651673499</v>
      </c>
      <c r="G182" s="21">
        <f t="shared" si="11"/>
        <v>-262360.89348326501</v>
      </c>
      <c r="H182" s="21">
        <f t="shared" si="12"/>
        <v>68833238429.337128</v>
      </c>
      <c r="K182" s="21">
        <f t="shared" si="13"/>
        <v>262360.89348326501</v>
      </c>
      <c r="L182" s="22">
        <f t="shared" si="14"/>
        <v>0.34512088066727836</v>
      </c>
    </row>
    <row r="183" spans="1:12" x14ac:dyDescent="0.3">
      <c r="A183" s="19">
        <v>7.1550000000000002</v>
      </c>
      <c r="B183" s="19">
        <v>4.82</v>
      </c>
      <c r="C183" s="20">
        <v>17.8</v>
      </c>
      <c r="D183" s="20">
        <v>795900</v>
      </c>
      <c r="E183" s="21">
        <f t="shared" si="10"/>
        <v>635587.19151673513</v>
      </c>
      <c r="G183" s="21">
        <f t="shared" si="11"/>
        <v>-160312.80848326487</v>
      </c>
      <c r="H183" s="21">
        <f t="shared" si="12"/>
        <v>25700196563.791962</v>
      </c>
      <c r="K183" s="21">
        <f t="shared" si="13"/>
        <v>160312.80848326487</v>
      </c>
      <c r="L183" s="22">
        <f t="shared" si="14"/>
        <v>0.20142330504242351</v>
      </c>
    </row>
    <row r="184" spans="1:12" x14ac:dyDescent="0.3">
      <c r="A184" s="19">
        <v>6.5629999999999997</v>
      </c>
      <c r="B184" s="19">
        <v>5.68</v>
      </c>
      <c r="C184" s="20">
        <v>17.8</v>
      </c>
      <c r="D184" s="20">
        <v>682500</v>
      </c>
      <c r="E184" s="21">
        <f t="shared" si="10"/>
        <v>575010.57151673501</v>
      </c>
      <c r="G184" s="21">
        <f t="shared" si="11"/>
        <v>-107489.42848326499</v>
      </c>
      <c r="H184" s="21">
        <f t="shared" si="12"/>
        <v>11553977235.658937</v>
      </c>
      <c r="K184" s="21">
        <f t="shared" si="13"/>
        <v>107489.42848326499</v>
      </c>
      <c r="L184" s="22">
        <f t="shared" si="14"/>
        <v>0.15749366810734797</v>
      </c>
    </row>
    <row r="185" spans="1:12" x14ac:dyDescent="0.3">
      <c r="A185" s="19">
        <v>5.6040000000000001</v>
      </c>
      <c r="B185" s="19">
        <v>13.98</v>
      </c>
      <c r="C185" s="20">
        <v>17.8</v>
      </c>
      <c r="D185" s="20">
        <v>554400</v>
      </c>
      <c r="E185" s="21">
        <f t="shared" si="10"/>
        <v>401948.03651673492</v>
      </c>
      <c r="G185" s="21">
        <f t="shared" si="11"/>
        <v>-152451.96348326508</v>
      </c>
      <c r="H185" s="21">
        <f t="shared" si="12"/>
        <v>23241601169.90279</v>
      </c>
      <c r="K185" s="21">
        <f t="shared" si="13"/>
        <v>152451.96348326508</v>
      </c>
      <c r="L185" s="22">
        <f t="shared" si="14"/>
        <v>0.27498550411844352</v>
      </c>
    </row>
    <row r="186" spans="1:12" x14ac:dyDescent="0.3">
      <c r="A186" s="19">
        <v>6.1529999999999996</v>
      </c>
      <c r="B186" s="19">
        <v>13.15</v>
      </c>
      <c r="C186" s="20">
        <v>17.8</v>
      </c>
      <c r="D186" s="20">
        <v>621600</v>
      </c>
      <c r="E186" s="21">
        <f t="shared" si="10"/>
        <v>458476.89151673502</v>
      </c>
      <c r="G186" s="21">
        <f t="shared" si="11"/>
        <v>-163123.10848326498</v>
      </c>
      <c r="H186" s="21">
        <f t="shared" si="12"/>
        <v>26609148521.243034</v>
      </c>
      <c r="K186" s="21">
        <f t="shared" si="13"/>
        <v>163123.10848326498</v>
      </c>
      <c r="L186" s="22">
        <f t="shared" si="14"/>
        <v>0.26242456319701574</v>
      </c>
    </row>
    <row r="187" spans="1:12" x14ac:dyDescent="0.3">
      <c r="A187" s="19">
        <v>6.782</v>
      </c>
      <c r="B187" s="19">
        <v>6.68</v>
      </c>
      <c r="C187" s="20">
        <v>15.2</v>
      </c>
      <c r="D187" s="20">
        <v>672000</v>
      </c>
      <c r="E187" s="21">
        <f t="shared" si="10"/>
        <v>633798.50651673507</v>
      </c>
      <c r="G187" s="21">
        <f t="shared" si="11"/>
        <v>-38201.493483264931</v>
      </c>
      <c r="H187" s="21">
        <f t="shared" si="12"/>
        <v>1459354104.351933</v>
      </c>
      <c r="K187" s="21">
        <f t="shared" si="13"/>
        <v>38201.493483264931</v>
      </c>
      <c r="L187" s="22">
        <f t="shared" si="14"/>
        <v>5.6847460540572811E-2</v>
      </c>
    </row>
    <row r="188" spans="1:12" x14ac:dyDescent="0.3">
      <c r="A188" s="19">
        <v>6.556</v>
      </c>
      <c r="B188" s="19">
        <v>4.5599999999999996</v>
      </c>
      <c r="C188" s="20">
        <v>15.2</v>
      </c>
      <c r="D188" s="20">
        <v>625800</v>
      </c>
      <c r="E188" s="21">
        <f t="shared" si="10"/>
        <v>637234.69651673525</v>
      </c>
      <c r="G188" s="21">
        <f t="shared" si="11"/>
        <v>11434.696516735246</v>
      </c>
      <c r="H188" s="21">
        <f t="shared" si="12"/>
        <v>130752284.42983718</v>
      </c>
      <c r="K188" s="21">
        <f t="shared" si="13"/>
        <v>11434.696516735246</v>
      </c>
      <c r="L188" s="22">
        <f t="shared" si="14"/>
        <v>1.8272126105361532E-2</v>
      </c>
    </row>
    <row r="189" spans="1:12" x14ac:dyDescent="0.3">
      <c r="A189" s="19">
        <v>7.1849999999999996</v>
      </c>
      <c r="B189" s="19">
        <v>5.39</v>
      </c>
      <c r="C189" s="20">
        <v>15.2</v>
      </c>
      <c r="D189" s="20">
        <v>732900</v>
      </c>
      <c r="E189" s="21">
        <f t="shared" si="10"/>
        <v>682679.4115167351</v>
      </c>
      <c r="G189" s="21">
        <f t="shared" si="11"/>
        <v>-50220.588483264903</v>
      </c>
      <c r="H189" s="21">
        <f t="shared" si="12"/>
        <v>2522107507.6054392</v>
      </c>
      <c r="K189" s="21">
        <f t="shared" si="13"/>
        <v>50220.588483264903</v>
      </c>
      <c r="L189" s="22">
        <f t="shared" si="14"/>
        <v>6.852311158857266E-2</v>
      </c>
    </row>
    <row r="190" spans="1:12" x14ac:dyDescent="0.3">
      <c r="A190" s="19">
        <v>6.9509999999999996</v>
      </c>
      <c r="B190" s="19">
        <v>5.0999999999999996</v>
      </c>
      <c r="C190" s="20">
        <v>15.2</v>
      </c>
      <c r="D190" s="20">
        <v>777000</v>
      </c>
      <c r="E190" s="21">
        <f t="shared" si="10"/>
        <v>665569.41151673486</v>
      </c>
      <c r="G190" s="21">
        <f t="shared" si="11"/>
        <v>-111430.58848326514</v>
      </c>
      <c r="H190" s="21">
        <f t="shared" si="12"/>
        <v>12416776049.72678</v>
      </c>
      <c r="K190" s="21">
        <f t="shared" si="13"/>
        <v>111430.58848326514</v>
      </c>
      <c r="L190" s="22">
        <f t="shared" si="14"/>
        <v>0.14341131078927302</v>
      </c>
    </row>
    <row r="191" spans="1:12" x14ac:dyDescent="0.3">
      <c r="A191" s="19">
        <v>6.7389999999999999</v>
      </c>
      <c r="B191" s="19">
        <v>4.6900000000000004</v>
      </c>
      <c r="C191" s="20">
        <v>15.2</v>
      </c>
      <c r="D191" s="20">
        <v>640500</v>
      </c>
      <c r="E191" s="21">
        <f t="shared" si="10"/>
        <v>651665.72151673515</v>
      </c>
      <c r="G191" s="21">
        <f t="shared" si="11"/>
        <v>11165.721516735153</v>
      </c>
      <c r="H191" s="21">
        <f t="shared" si="12"/>
        <v>124673336.98928237</v>
      </c>
      <c r="K191" s="21">
        <f t="shared" si="13"/>
        <v>11165.721516735153</v>
      </c>
      <c r="L191" s="22">
        <f t="shared" si="14"/>
        <v>1.7432820478899536E-2</v>
      </c>
    </row>
    <row r="192" spans="1:12" x14ac:dyDescent="0.3">
      <c r="A192" s="19">
        <v>7.1779999999999999</v>
      </c>
      <c r="B192" s="19">
        <v>2.87</v>
      </c>
      <c r="C192" s="20">
        <v>15.2</v>
      </c>
      <c r="D192" s="20">
        <v>764400</v>
      </c>
      <c r="E192" s="21">
        <f t="shared" si="10"/>
        <v>709412.936516735</v>
      </c>
      <c r="G192" s="21">
        <f t="shared" si="11"/>
        <v>-54987.063483264996</v>
      </c>
      <c r="H192" s="21">
        <f t="shared" si="12"/>
        <v>3023577150.5126147</v>
      </c>
      <c r="K192" s="21">
        <f t="shared" si="13"/>
        <v>54987.063483264996</v>
      </c>
      <c r="L192" s="22">
        <f t="shared" si="14"/>
        <v>7.1934933913219506E-2</v>
      </c>
    </row>
    <row r="193" spans="1:12" x14ac:dyDescent="0.3">
      <c r="A193" s="19">
        <v>6.8</v>
      </c>
      <c r="B193" s="19">
        <v>5.03</v>
      </c>
      <c r="C193" s="20">
        <v>15.6</v>
      </c>
      <c r="D193" s="20">
        <v>653100</v>
      </c>
      <c r="E193" s="21">
        <f t="shared" si="10"/>
        <v>645460.72651673504</v>
      </c>
      <c r="G193" s="21">
        <f t="shared" si="11"/>
        <v>-7639.2734832649585</v>
      </c>
      <c r="H193" s="21">
        <f t="shared" si="12"/>
        <v>58358499.352115132</v>
      </c>
      <c r="K193" s="21">
        <f t="shared" si="13"/>
        <v>7639.2734832649585</v>
      </c>
      <c r="L193" s="22">
        <f t="shared" si="14"/>
        <v>1.1696943015257937E-2</v>
      </c>
    </row>
    <row r="194" spans="1:12" x14ac:dyDescent="0.3">
      <c r="A194" s="19">
        <v>6.6040000000000001</v>
      </c>
      <c r="B194" s="19">
        <v>4.38</v>
      </c>
      <c r="C194" s="20">
        <v>15.6</v>
      </c>
      <c r="D194" s="20">
        <v>611100</v>
      </c>
      <c r="E194" s="21">
        <f t="shared" si="10"/>
        <v>635545.83651673491</v>
      </c>
      <c r="G194" s="21">
        <f t="shared" si="11"/>
        <v>24445.836516734911</v>
      </c>
      <c r="H194" s="21">
        <f t="shared" si="12"/>
        <v>597598923.00293005</v>
      </c>
      <c r="K194" s="21">
        <f t="shared" si="13"/>
        <v>24445.836516734911</v>
      </c>
      <c r="L194" s="22">
        <f t="shared" si="14"/>
        <v>4.000300526384374E-2</v>
      </c>
    </row>
    <row r="195" spans="1:12" x14ac:dyDescent="0.3">
      <c r="A195" s="19">
        <v>7.2869999999999999</v>
      </c>
      <c r="B195" s="19">
        <v>4.08</v>
      </c>
      <c r="C195" s="20">
        <v>12.6</v>
      </c>
      <c r="D195" s="20">
        <v>699300</v>
      </c>
      <c r="E195" s="21">
        <f t="shared" si="10"/>
        <v>756400.431516735</v>
      </c>
      <c r="G195" s="21">
        <f t="shared" si="11"/>
        <v>57100.431516735</v>
      </c>
      <c r="H195" s="21">
        <f t="shared" si="12"/>
        <v>3260459279.3973436</v>
      </c>
      <c r="K195" s="21">
        <f t="shared" si="13"/>
        <v>57100.431516735</v>
      </c>
      <c r="L195" s="22">
        <f t="shared" si="14"/>
        <v>8.1653698722629772E-2</v>
      </c>
    </row>
    <row r="196" spans="1:12" x14ac:dyDescent="0.3">
      <c r="A196" s="19">
        <v>7.1070000000000002</v>
      </c>
      <c r="B196" s="19">
        <v>8.61</v>
      </c>
      <c r="C196" s="20">
        <v>12.6</v>
      </c>
      <c r="D196" s="20">
        <v>636300</v>
      </c>
      <c r="E196" s="21">
        <f t="shared" si="10"/>
        <v>691672.76151673507</v>
      </c>
      <c r="G196" s="21">
        <f t="shared" si="11"/>
        <v>55372.761516735074</v>
      </c>
      <c r="H196" s="21">
        <f t="shared" si="12"/>
        <v>3066142717.9892168</v>
      </c>
      <c r="K196" s="21">
        <f t="shared" si="13"/>
        <v>55372.761516735074</v>
      </c>
      <c r="L196" s="22">
        <f t="shared" si="14"/>
        <v>8.7023041830481027E-2</v>
      </c>
    </row>
    <row r="197" spans="1:12" x14ac:dyDescent="0.3">
      <c r="A197" s="19">
        <v>7.274</v>
      </c>
      <c r="B197" s="19">
        <v>6.62</v>
      </c>
      <c r="C197" s="20">
        <v>12.6</v>
      </c>
      <c r="D197" s="20">
        <v>726600</v>
      </c>
      <c r="E197" s="21">
        <f t="shared" si="10"/>
        <v>727718.62651673506</v>
      </c>
      <c r="G197" s="21">
        <f t="shared" si="11"/>
        <v>1118.6265167350648</v>
      </c>
      <c r="H197" s="21">
        <f t="shared" si="12"/>
        <v>1251325.2839428242</v>
      </c>
      <c r="K197" s="21">
        <f t="shared" si="13"/>
        <v>1118.6265167350648</v>
      </c>
      <c r="L197" s="22">
        <f t="shared" si="14"/>
        <v>1.5395355308767751E-3</v>
      </c>
    </row>
    <row r="198" spans="1:12" x14ac:dyDescent="0.3">
      <c r="A198" s="19">
        <v>6.9749999999999996</v>
      </c>
      <c r="B198" s="19">
        <v>4.5599999999999996</v>
      </c>
      <c r="C198" s="20">
        <v>17</v>
      </c>
      <c r="D198" s="20">
        <v>732900</v>
      </c>
      <c r="E198" s="21">
        <f t="shared" ref="E198:E261" si="15">415464.396516735+86565*(A198)-10849*(B198)-19492*(C198)</f>
        <v>638419.83151673502</v>
      </c>
      <c r="G198" s="21">
        <f t="shared" ref="G198:G261" si="16">E198-D198</f>
        <v>-94480.168483264977</v>
      </c>
      <c r="H198" s="21">
        <f t="shared" ref="H198:H261" si="17">G198^2</f>
        <v>8926502236.6261368</v>
      </c>
      <c r="K198" s="21">
        <f t="shared" ref="K198:K261" si="18">ABS(G198)</f>
        <v>94480.168483264977</v>
      </c>
      <c r="L198" s="22">
        <f t="shared" ref="L198:L261" si="19">ABS(G198/D198)</f>
        <v>0.12891276911347385</v>
      </c>
    </row>
    <row r="199" spans="1:12" x14ac:dyDescent="0.3">
      <c r="A199" s="19">
        <v>7.1349999999999998</v>
      </c>
      <c r="B199" s="19">
        <v>4.45</v>
      </c>
      <c r="C199" s="20">
        <v>17</v>
      </c>
      <c r="D199" s="20">
        <v>690900</v>
      </c>
      <c r="E199" s="21">
        <f t="shared" si="15"/>
        <v>653463.62151673506</v>
      </c>
      <c r="G199" s="21">
        <f t="shared" si="16"/>
        <v>-37436.37848326494</v>
      </c>
      <c r="H199" s="21">
        <f t="shared" si="17"/>
        <v>1401482433.9422622</v>
      </c>
      <c r="K199" s="21">
        <f t="shared" si="18"/>
        <v>37436.37848326494</v>
      </c>
      <c r="L199" s="22">
        <f t="shared" si="19"/>
        <v>5.4184944975054189E-2</v>
      </c>
    </row>
    <row r="200" spans="1:12" x14ac:dyDescent="0.3">
      <c r="A200" s="19">
        <v>6.1619999999999999</v>
      </c>
      <c r="B200" s="19">
        <v>7.43</v>
      </c>
      <c r="C200" s="20">
        <v>14.7</v>
      </c>
      <c r="D200" s="20">
        <v>506100</v>
      </c>
      <c r="E200" s="21">
        <f t="shared" si="15"/>
        <v>581737.45651673502</v>
      </c>
      <c r="G200" s="21">
        <f t="shared" si="16"/>
        <v>75637.456516735023</v>
      </c>
      <c r="H200" s="21">
        <f t="shared" si="17"/>
        <v>5721024828.320981</v>
      </c>
      <c r="K200" s="21">
        <f t="shared" si="18"/>
        <v>75637.456516735023</v>
      </c>
      <c r="L200" s="22">
        <f t="shared" si="19"/>
        <v>0.14945160347112235</v>
      </c>
    </row>
    <row r="201" spans="1:12" x14ac:dyDescent="0.3">
      <c r="A201" s="19">
        <v>7.61</v>
      </c>
      <c r="B201" s="19">
        <v>3.11</v>
      </c>
      <c r="C201" s="20">
        <v>14.7</v>
      </c>
      <c r="D201" s="20">
        <v>888300</v>
      </c>
      <c r="E201" s="21">
        <f t="shared" si="15"/>
        <v>753951.25651673507</v>
      </c>
      <c r="G201" s="21">
        <f t="shared" si="16"/>
        <v>-134348.74348326493</v>
      </c>
      <c r="H201" s="21">
        <f t="shared" si="17"/>
        <v>18049584875.53212</v>
      </c>
      <c r="K201" s="21">
        <f t="shared" si="18"/>
        <v>134348.74348326493</v>
      </c>
      <c r="L201" s="22">
        <f t="shared" si="19"/>
        <v>0.15124253459784412</v>
      </c>
    </row>
    <row r="202" spans="1:12" x14ac:dyDescent="0.3">
      <c r="A202" s="19">
        <v>7.8529999999999998</v>
      </c>
      <c r="B202" s="19">
        <v>3.81</v>
      </c>
      <c r="C202" s="20">
        <v>14.7</v>
      </c>
      <c r="D202" s="20">
        <v>1018500</v>
      </c>
      <c r="E202" s="21">
        <f t="shared" si="15"/>
        <v>767392.25151673518</v>
      </c>
      <c r="G202" s="21">
        <f t="shared" si="16"/>
        <v>-251107.74848326482</v>
      </c>
      <c r="H202" s="21">
        <f t="shared" si="17"/>
        <v>63055101348.334587</v>
      </c>
      <c r="K202" s="21">
        <f t="shared" si="18"/>
        <v>251107.74848326482</v>
      </c>
      <c r="L202" s="22">
        <f t="shared" si="19"/>
        <v>0.2465466357224004</v>
      </c>
    </row>
    <row r="203" spans="1:12" x14ac:dyDescent="0.3">
      <c r="A203" s="19">
        <v>5.891</v>
      </c>
      <c r="B203" s="19">
        <v>10.87</v>
      </c>
      <c r="C203" s="20">
        <v>18.600000000000001</v>
      </c>
      <c r="D203" s="20">
        <v>474600</v>
      </c>
      <c r="E203" s="21">
        <f t="shared" si="15"/>
        <v>444938.98151673499</v>
      </c>
      <c r="G203" s="21">
        <f t="shared" si="16"/>
        <v>-29661.018483265012</v>
      </c>
      <c r="H203" s="21">
        <f t="shared" si="17"/>
        <v>879776017.46458864</v>
      </c>
      <c r="K203" s="21">
        <f t="shared" si="18"/>
        <v>29661.018483265012</v>
      </c>
      <c r="L203" s="22">
        <f t="shared" si="19"/>
        <v>6.2496878388674695E-2</v>
      </c>
    </row>
    <row r="204" spans="1:12" x14ac:dyDescent="0.3">
      <c r="A204" s="19">
        <v>6.3259999999999996</v>
      </c>
      <c r="B204" s="19">
        <v>10.97</v>
      </c>
      <c r="C204" s="20">
        <v>18.600000000000001</v>
      </c>
      <c r="D204" s="20">
        <v>512400</v>
      </c>
      <c r="E204" s="21">
        <f t="shared" si="15"/>
        <v>481509.85651673487</v>
      </c>
      <c r="G204" s="21">
        <f t="shared" si="16"/>
        <v>-30890.143483265128</v>
      </c>
      <c r="H204" s="21">
        <f t="shared" si="17"/>
        <v>954200964.41670704</v>
      </c>
      <c r="K204" s="21">
        <f t="shared" si="18"/>
        <v>30890.143483265128</v>
      </c>
      <c r="L204" s="22">
        <f t="shared" si="19"/>
        <v>6.028521366757441E-2</v>
      </c>
    </row>
    <row r="205" spans="1:12" x14ac:dyDescent="0.3">
      <c r="A205" s="19">
        <v>5.7830000000000004</v>
      </c>
      <c r="B205" s="19">
        <v>18.059999999999999</v>
      </c>
      <c r="C205" s="20">
        <v>18.600000000000001</v>
      </c>
      <c r="D205" s="20">
        <v>472500</v>
      </c>
      <c r="E205" s="21">
        <f t="shared" si="15"/>
        <v>357585.65151673503</v>
      </c>
      <c r="G205" s="21">
        <f t="shared" si="16"/>
        <v>-114914.34848326497</v>
      </c>
      <c r="H205" s="21">
        <f t="shared" si="17"/>
        <v>13205307487.333261</v>
      </c>
      <c r="K205" s="21">
        <f t="shared" si="18"/>
        <v>114914.34848326497</v>
      </c>
      <c r="L205" s="22">
        <f t="shared" si="19"/>
        <v>0.24320497033495231</v>
      </c>
    </row>
    <row r="206" spans="1:12" x14ac:dyDescent="0.3">
      <c r="A206" s="19">
        <v>6.0640000000000001</v>
      </c>
      <c r="B206" s="19">
        <v>14.66</v>
      </c>
      <c r="C206" s="20">
        <v>18.600000000000001</v>
      </c>
      <c r="D206" s="20">
        <v>512400</v>
      </c>
      <c r="E206" s="21">
        <f t="shared" si="15"/>
        <v>418797.01651673514</v>
      </c>
      <c r="G206" s="21">
        <f t="shared" si="16"/>
        <v>-93602.983483264863</v>
      </c>
      <c r="H206" s="21">
        <f t="shared" si="17"/>
        <v>8761518516.9683552</v>
      </c>
      <c r="K206" s="21">
        <f t="shared" si="18"/>
        <v>93602.983483264863</v>
      </c>
      <c r="L206" s="22">
        <f t="shared" si="19"/>
        <v>0.1826756117940376</v>
      </c>
    </row>
    <row r="207" spans="1:12" x14ac:dyDescent="0.3">
      <c r="A207" s="19">
        <v>5.3440000000000003</v>
      </c>
      <c r="B207" s="19">
        <v>23.09</v>
      </c>
      <c r="C207" s="20">
        <v>18.600000000000001</v>
      </c>
      <c r="D207" s="20">
        <v>420000</v>
      </c>
      <c r="E207" s="21">
        <f t="shared" si="15"/>
        <v>265013.14651673503</v>
      </c>
      <c r="G207" s="21">
        <f t="shared" si="16"/>
        <v>-154986.85348326497</v>
      </c>
      <c r="H207" s="21">
        <f t="shared" si="17"/>
        <v>24020924752.643044</v>
      </c>
      <c r="K207" s="21">
        <f t="shared" si="18"/>
        <v>154986.85348326497</v>
      </c>
      <c r="L207" s="22">
        <f t="shared" si="19"/>
        <v>0.36901631781729755</v>
      </c>
    </row>
    <row r="208" spans="1:12" x14ac:dyDescent="0.3">
      <c r="A208" s="19">
        <v>5.96</v>
      </c>
      <c r="B208" s="19">
        <v>17.27</v>
      </c>
      <c r="C208" s="20">
        <v>18.600000000000001</v>
      </c>
      <c r="D208" s="20">
        <v>455700</v>
      </c>
      <c r="E208" s="21">
        <f t="shared" si="15"/>
        <v>381478.36651673511</v>
      </c>
      <c r="G208" s="21">
        <f t="shared" si="16"/>
        <v>-74221.633483264886</v>
      </c>
      <c r="H208" s="21">
        <f t="shared" si="17"/>
        <v>5508850876.9241076</v>
      </c>
      <c r="K208" s="21">
        <f t="shared" si="18"/>
        <v>74221.633483264886</v>
      </c>
      <c r="L208" s="22">
        <f t="shared" si="19"/>
        <v>0.16287389397249261</v>
      </c>
    </row>
    <row r="209" spans="1:12" x14ac:dyDescent="0.3">
      <c r="A209" s="19">
        <v>5.4039999999999999</v>
      </c>
      <c r="B209" s="19">
        <v>23.98</v>
      </c>
      <c r="C209" s="20">
        <v>18.600000000000001</v>
      </c>
      <c r="D209" s="20">
        <v>405300</v>
      </c>
      <c r="E209" s="21">
        <f t="shared" si="15"/>
        <v>260551.43651673495</v>
      </c>
      <c r="G209" s="21">
        <f t="shared" si="16"/>
        <v>-144748.56348326505</v>
      </c>
      <c r="H209" s="21">
        <f t="shared" si="17"/>
        <v>20952146630.468815</v>
      </c>
      <c r="K209" s="21">
        <f t="shared" si="18"/>
        <v>144748.56348326505</v>
      </c>
      <c r="L209" s="22">
        <f t="shared" si="19"/>
        <v>0.35713931281338529</v>
      </c>
    </row>
    <row r="210" spans="1:12" x14ac:dyDescent="0.3">
      <c r="A210" s="19">
        <v>5.8070000000000004</v>
      </c>
      <c r="B210" s="19">
        <v>16.03</v>
      </c>
      <c r="C210" s="20">
        <v>18.600000000000001</v>
      </c>
      <c r="D210" s="20">
        <v>470400</v>
      </c>
      <c r="E210" s="21">
        <f t="shared" si="15"/>
        <v>381686.68151673506</v>
      </c>
      <c r="G210" s="21">
        <f t="shared" si="16"/>
        <v>-88713.318483264942</v>
      </c>
      <c r="H210" s="21">
        <f t="shared" si="17"/>
        <v>7870052876.3131971</v>
      </c>
      <c r="K210" s="21">
        <f t="shared" si="18"/>
        <v>88713.318483264942</v>
      </c>
      <c r="L210" s="22">
        <f t="shared" si="19"/>
        <v>0.18859123827224691</v>
      </c>
    </row>
    <row r="211" spans="1:12" x14ac:dyDescent="0.3">
      <c r="A211" s="19">
        <v>6.375</v>
      </c>
      <c r="B211" s="19">
        <v>9.3800000000000008</v>
      </c>
      <c r="C211" s="20">
        <v>18.600000000000001</v>
      </c>
      <c r="D211" s="20">
        <v>590100</v>
      </c>
      <c r="E211" s="21">
        <f t="shared" si="15"/>
        <v>503001.45151673496</v>
      </c>
      <c r="G211" s="21">
        <f t="shared" si="16"/>
        <v>-87098.54848326504</v>
      </c>
      <c r="H211" s="21">
        <f t="shared" si="17"/>
        <v>7586157147.8916712</v>
      </c>
      <c r="K211" s="21">
        <f t="shared" si="18"/>
        <v>87098.54848326504</v>
      </c>
      <c r="L211" s="22">
        <f t="shared" si="19"/>
        <v>0.1475996415578123</v>
      </c>
    </row>
    <row r="212" spans="1:12" x14ac:dyDescent="0.3">
      <c r="A212" s="19">
        <v>5.4119999999999999</v>
      </c>
      <c r="B212" s="19">
        <v>29.55</v>
      </c>
      <c r="C212" s="20">
        <v>18.600000000000001</v>
      </c>
      <c r="D212" s="20">
        <v>497700</v>
      </c>
      <c r="E212" s="21">
        <f t="shared" si="15"/>
        <v>200815.02651673503</v>
      </c>
      <c r="G212" s="21">
        <f t="shared" si="16"/>
        <v>-296884.97348326497</v>
      </c>
      <c r="H212" s="21">
        <f t="shared" si="17"/>
        <v>88140687480.158951</v>
      </c>
      <c r="K212" s="21">
        <f t="shared" si="18"/>
        <v>296884.97348326497</v>
      </c>
      <c r="L212" s="22">
        <f t="shared" si="19"/>
        <v>0.59651391095693185</v>
      </c>
    </row>
    <row r="213" spans="1:12" x14ac:dyDescent="0.3">
      <c r="A213" s="19">
        <v>6.1820000000000004</v>
      </c>
      <c r="B213" s="19">
        <v>9.4700000000000006</v>
      </c>
      <c r="C213" s="20">
        <v>18.600000000000001</v>
      </c>
      <c r="D213" s="20">
        <v>525000</v>
      </c>
      <c r="E213" s="21">
        <f t="shared" si="15"/>
        <v>485317.996516735</v>
      </c>
      <c r="G213" s="21">
        <f t="shared" si="16"/>
        <v>-39682.003483264998</v>
      </c>
      <c r="H213" s="21">
        <f t="shared" si="17"/>
        <v>1574661400.4458554</v>
      </c>
      <c r="K213" s="21">
        <f t="shared" si="18"/>
        <v>39682.003483264998</v>
      </c>
      <c r="L213" s="22">
        <f t="shared" si="19"/>
        <v>7.5584768539552372E-2</v>
      </c>
    </row>
    <row r="214" spans="1:12" x14ac:dyDescent="0.3">
      <c r="A214" s="19">
        <v>5.8879999999999999</v>
      </c>
      <c r="B214" s="19">
        <v>13.51</v>
      </c>
      <c r="C214" s="20">
        <v>16.399999999999999</v>
      </c>
      <c r="D214" s="20">
        <v>489300</v>
      </c>
      <c r="E214" s="21">
        <f t="shared" si="15"/>
        <v>458920.32651673496</v>
      </c>
      <c r="G214" s="21">
        <f t="shared" si="16"/>
        <v>-30379.67348326504</v>
      </c>
      <c r="H214" s="21">
        <f t="shared" si="17"/>
        <v>922924560.94979703</v>
      </c>
      <c r="K214" s="21">
        <f t="shared" si="18"/>
        <v>30379.67348326504</v>
      </c>
      <c r="L214" s="22">
        <f t="shared" si="19"/>
        <v>6.2088030826210998E-2</v>
      </c>
    </row>
    <row r="215" spans="1:12" x14ac:dyDescent="0.3">
      <c r="A215" s="19">
        <v>6.6420000000000003</v>
      </c>
      <c r="B215" s="19">
        <v>9.69</v>
      </c>
      <c r="C215" s="20">
        <v>16.399999999999999</v>
      </c>
      <c r="D215" s="20">
        <v>602700</v>
      </c>
      <c r="E215" s="21">
        <f t="shared" si="15"/>
        <v>565633.51651673485</v>
      </c>
      <c r="G215" s="21">
        <f t="shared" si="16"/>
        <v>-37066.483483265154</v>
      </c>
      <c r="H215" s="21">
        <f t="shared" si="17"/>
        <v>1373924197.8151684</v>
      </c>
      <c r="K215" s="21">
        <f t="shared" si="18"/>
        <v>37066.483483265154</v>
      </c>
      <c r="L215" s="22">
        <f t="shared" si="19"/>
        <v>6.1500719235548625E-2</v>
      </c>
    </row>
    <row r="216" spans="1:12" x14ac:dyDescent="0.3">
      <c r="A216" s="19">
        <v>5.9509999999999996</v>
      </c>
      <c r="B216" s="19">
        <v>17.920000000000002</v>
      </c>
      <c r="C216" s="20">
        <v>16.399999999999999</v>
      </c>
      <c r="D216" s="20">
        <v>451500</v>
      </c>
      <c r="E216" s="21">
        <f t="shared" si="15"/>
        <v>416529.83151673485</v>
      </c>
      <c r="G216" s="21">
        <f t="shared" si="16"/>
        <v>-34970.168483265152</v>
      </c>
      <c r="H216" s="21">
        <f t="shared" si="17"/>
        <v>1222912683.7479513</v>
      </c>
      <c r="K216" s="21">
        <f t="shared" si="18"/>
        <v>34970.168483265152</v>
      </c>
      <c r="L216" s="22">
        <f t="shared" si="19"/>
        <v>7.745330782561495E-2</v>
      </c>
    </row>
    <row r="217" spans="1:12" x14ac:dyDescent="0.3">
      <c r="A217" s="19">
        <v>6.3730000000000002</v>
      </c>
      <c r="B217" s="19">
        <v>10.5</v>
      </c>
      <c r="C217" s="20">
        <v>16.399999999999999</v>
      </c>
      <c r="D217" s="20">
        <v>483000</v>
      </c>
      <c r="E217" s="21">
        <f t="shared" si="15"/>
        <v>533559.84151673503</v>
      </c>
      <c r="G217" s="21">
        <f t="shared" si="16"/>
        <v>50559.841516735032</v>
      </c>
      <c r="H217" s="21">
        <f t="shared" si="17"/>
        <v>2556297574.1973634</v>
      </c>
      <c r="K217" s="21">
        <f t="shared" si="18"/>
        <v>50559.841516735032</v>
      </c>
      <c r="L217" s="22">
        <f t="shared" si="19"/>
        <v>0.10467876090421331</v>
      </c>
    </row>
    <row r="218" spans="1:12" x14ac:dyDescent="0.3">
      <c r="A218" s="19">
        <v>6.9509999999999996</v>
      </c>
      <c r="B218" s="19">
        <v>9.7100000000000009</v>
      </c>
      <c r="C218" s="20">
        <v>17.399999999999999</v>
      </c>
      <c r="D218" s="20">
        <v>560700</v>
      </c>
      <c r="E218" s="21">
        <f t="shared" si="15"/>
        <v>572673.12151673483</v>
      </c>
      <c r="G218" s="21">
        <f t="shared" si="16"/>
        <v>11973.121516734827</v>
      </c>
      <c r="H218" s="21">
        <f t="shared" si="17"/>
        <v>143355638.85449851</v>
      </c>
      <c r="K218" s="21">
        <f t="shared" si="18"/>
        <v>11973.121516734827</v>
      </c>
      <c r="L218" s="22">
        <f t="shared" si="19"/>
        <v>2.1353881784795484E-2</v>
      </c>
    </row>
    <row r="219" spans="1:12" x14ac:dyDescent="0.3">
      <c r="A219" s="19">
        <v>6.1639999999999997</v>
      </c>
      <c r="B219" s="19">
        <v>21.46</v>
      </c>
      <c r="C219" s="20">
        <v>17.399999999999999</v>
      </c>
      <c r="D219" s="20">
        <v>455700</v>
      </c>
      <c r="E219" s="21">
        <f t="shared" si="15"/>
        <v>377070.71651673486</v>
      </c>
      <c r="G219" s="21">
        <f t="shared" si="16"/>
        <v>-78629.283483265142</v>
      </c>
      <c r="H219" s="21">
        <f t="shared" si="17"/>
        <v>6182564221.0916729</v>
      </c>
      <c r="K219" s="21">
        <f t="shared" si="18"/>
        <v>78629.283483265142</v>
      </c>
      <c r="L219" s="22">
        <f t="shared" si="19"/>
        <v>0.17254615642586163</v>
      </c>
    </row>
    <row r="220" spans="1:12" x14ac:dyDescent="0.3">
      <c r="A220" s="19">
        <v>6.8789999999999996</v>
      </c>
      <c r="B220" s="19">
        <v>9.93</v>
      </c>
      <c r="C220" s="20">
        <v>17.399999999999999</v>
      </c>
      <c r="D220" s="20">
        <v>577500</v>
      </c>
      <c r="E220" s="21">
        <f t="shared" si="15"/>
        <v>564053.6615167351</v>
      </c>
      <c r="G220" s="21">
        <f t="shared" si="16"/>
        <v>-13446.338483264903</v>
      </c>
      <c r="H220" s="21">
        <f t="shared" si="17"/>
        <v>180804018.6065307</v>
      </c>
      <c r="K220" s="21">
        <f t="shared" si="18"/>
        <v>13446.338483264903</v>
      </c>
      <c r="L220" s="22">
        <f t="shared" si="19"/>
        <v>2.3283703001324506E-2</v>
      </c>
    </row>
    <row r="221" spans="1:12" x14ac:dyDescent="0.3">
      <c r="A221" s="19">
        <v>6.6180000000000003</v>
      </c>
      <c r="B221" s="19">
        <v>7.6</v>
      </c>
      <c r="C221" s="20">
        <v>17.399999999999999</v>
      </c>
      <c r="D221" s="20">
        <v>632100</v>
      </c>
      <c r="E221" s="21">
        <f t="shared" si="15"/>
        <v>566738.36651673517</v>
      </c>
      <c r="G221" s="21">
        <f t="shared" si="16"/>
        <v>-65361.633483264828</v>
      </c>
      <c r="H221" s="21">
        <f t="shared" si="17"/>
        <v>4272143131.600646</v>
      </c>
      <c r="K221" s="21">
        <f t="shared" si="18"/>
        <v>65361.633483264828</v>
      </c>
      <c r="L221" s="22">
        <f t="shared" si="19"/>
        <v>0.1034039447607417</v>
      </c>
    </row>
    <row r="222" spans="1:12" x14ac:dyDescent="0.3">
      <c r="A222" s="19">
        <v>8.266</v>
      </c>
      <c r="B222" s="19">
        <v>4.1399999999999997</v>
      </c>
      <c r="C222" s="20">
        <v>17.399999999999999</v>
      </c>
      <c r="D222" s="20">
        <v>940800</v>
      </c>
      <c r="E222" s="21">
        <f t="shared" si="15"/>
        <v>746935.02651673486</v>
      </c>
      <c r="G222" s="21">
        <f t="shared" si="16"/>
        <v>-193864.97348326514</v>
      </c>
      <c r="H222" s="21">
        <f t="shared" si="17"/>
        <v>37583627943.667099</v>
      </c>
      <c r="K222" s="21">
        <f t="shared" si="18"/>
        <v>193864.97348326514</v>
      </c>
      <c r="L222" s="22">
        <f t="shared" si="19"/>
        <v>0.2060639599099332</v>
      </c>
    </row>
    <row r="223" spans="1:12" x14ac:dyDescent="0.3">
      <c r="A223" s="19">
        <v>8.0399999999999991</v>
      </c>
      <c r="B223" s="19">
        <v>3.13</v>
      </c>
      <c r="C223" s="20">
        <v>17.399999999999999</v>
      </c>
      <c r="D223" s="20">
        <v>789600</v>
      </c>
      <c r="E223" s="21">
        <f t="shared" si="15"/>
        <v>738328.82651673513</v>
      </c>
      <c r="G223" s="21">
        <f t="shared" si="16"/>
        <v>-51271.173483264865</v>
      </c>
      <c r="H223" s="21">
        <f t="shared" si="17"/>
        <v>2628733230.3510423</v>
      </c>
      <c r="K223" s="21">
        <f t="shared" si="18"/>
        <v>51271.173483264865</v>
      </c>
      <c r="L223" s="22">
        <f t="shared" si="19"/>
        <v>6.4933097116596838E-2</v>
      </c>
    </row>
    <row r="224" spans="1:12" x14ac:dyDescent="0.3">
      <c r="A224" s="19">
        <v>7.1630000000000003</v>
      </c>
      <c r="B224" s="19">
        <v>6.36</v>
      </c>
      <c r="C224" s="20">
        <v>17.399999999999999</v>
      </c>
      <c r="D224" s="20">
        <v>663600</v>
      </c>
      <c r="E224" s="21">
        <f t="shared" si="15"/>
        <v>627369.05151673499</v>
      </c>
      <c r="G224" s="21">
        <f t="shared" si="16"/>
        <v>-36230.948483265005</v>
      </c>
      <c r="H224" s="21">
        <f t="shared" si="17"/>
        <v>1312681627.9970028</v>
      </c>
      <c r="K224" s="21">
        <f t="shared" si="18"/>
        <v>36230.948483265005</v>
      </c>
      <c r="L224" s="22">
        <f t="shared" si="19"/>
        <v>5.4597571554046119E-2</v>
      </c>
    </row>
    <row r="225" spans="1:12" x14ac:dyDescent="0.3">
      <c r="A225" s="19">
        <v>7.6859999999999999</v>
      </c>
      <c r="B225" s="19">
        <v>3.92</v>
      </c>
      <c r="C225" s="20">
        <v>17.399999999999999</v>
      </c>
      <c r="D225" s="20">
        <v>980700</v>
      </c>
      <c r="E225" s="21">
        <f t="shared" si="15"/>
        <v>699114.10651673516</v>
      </c>
      <c r="G225" s="21">
        <f t="shared" si="16"/>
        <v>-281585.89348326484</v>
      </c>
      <c r="H225" s="21">
        <f t="shared" si="17"/>
        <v>79290615408.76857</v>
      </c>
      <c r="K225" s="21">
        <f t="shared" si="18"/>
        <v>281585.89348326484</v>
      </c>
      <c r="L225" s="22">
        <f t="shared" si="19"/>
        <v>0.28712745333258372</v>
      </c>
    </row>
    <row r="226" spans="1:12" x14ac:dyDescent="0.3">
      <c r="A226" s="19">
        <v>6.5519999999999996</v>
      </c>
      <c r="B226" s="19">
        <v>3.76</v>
      </c>
      <c r="C226" s="20">
        <v>17.399999999999999</v>
      </c>
      <c r="D226" s="20">
        <v>661500</v>
      </c>
      <c r="E226" s="21">
        <f t="shared" si="15"/>
        <v>602685.23651673505</v>
      </c>
      <c r="G226" s="21">
        <f t="shared" si="16"/>
        <v>-58814.763483264949</v>
      </c>
      <c r="H226" s="21">
        <f t="shared" si="17"/>
        <v>3459176403.5923963</v>
      </c>
      <c r="K226" s="21">
        <f t="shared" si="18"/>
        <v>58814.763483264949</v>
      </c>
      <c r="L226" s="22">
        <f t="shared" si="19"/>
        <v>8.8911207079765603E-2</v>
      </c>
    </row>
    <row r="227" spans="1:12" x14ac:dyDescent="0.3">
      <c r="A227" s="19">
        <v>5.9809999999999999</v>
      </c>
      <c r="B227" s="19">
        <v>11.65</v>
      </c>
      <c r="C227" s="20">
        <v>17.399999999999999</v>
      </c>
      <c r="D227" s="20">
        <v>510300</v>
      </c>
      <c r="E227" s="21">
        <f t="shared" si="15"/>
        <v>467658.01151673513</v>
      </c>
      <c r="G227" s="21">
        <f t="shared" si="16"/>
        <v>-42641.988483264868</v>
      </c>
      <c r="H227" s="21">
        <f t="shared" si="17"/>
        <v>1818339181.8068936</v>
      </c>
      <c r="K227" s="21">
        <f t="shared" si="18"/>
        <v>42641.988483264868</v>
      </c>
      <c r="L227" s="22">
        <f t="shared" si="19"/>
        <v>8.3562587660718932E-2</v>
      </c>
    </row>
    <row r="228" spans="1:12" x14ac:dyDescent="0.3">
      <c r="A228" s="19">
        <v>7.4119999999999999</v>
      </c>
      <c r="B228" s="19">
        <v>5.25</v>
      </c>
      <c r="C228" s="20">
        <v>17.399999999999999</v>
      </c>
      <c r="D228" s="20">
        <v>665700</v>
      </c>
      <c r="E228" s="21">
        <f t="shared" si="15"/>
        <v>660966.12651673495</v>
      </c>
      <c r="G228" s="21">
        <f t="shared" si="16"/>
        <v>-4733.8734832650516</v>
      </c>
      <c r="H228" s="21">
        <f t="shared" si="17"/>
        <v>22409558.155559994</v>
      </c>
      <c r="K228" s="21">
        <f t="shared" si="18"/>
        <v>4733.8734832650516</v>
      </c>
      <c r="L228" s="22">
        <f t="shared" si="19"/>
        <v>7.1111213508563195E-3</v>
      </c>
    </row>
    <row r="229" spans="1:12" x14ac:dyDescent="0.3">
      <c r="A229" s="19">
        <v>8.3369999999999997</v>
      </c>
      <c r="B229" s="19">
        <v>2.4700000000000002</v>
      </c>
      <c r="C229" s="20">
        <v>17.399999999999999</v>
      </c>
      <c r="D229" s="20">
        <v>875700</v>
      </c>
      <c r="E229" s="21">
        <f t="shared" si="15"/>
        <v>771198.97151673492</v>
      </c>
      <c r="G229" s="21">
        <f t="shared" si="16"/>
        <v>-104501.02848326508</v>
      </c>
      <c r="H229" s="21">
        <f t="shared" si="17"/>
        <v>10920464954.060179</v>
      </c>
      <c r="K229" s="21">
        <f t="shared" si="18"/>
        <v>104501.02848326508</v>
      </c>
      <c r="L229" s="22">
        <f t="shared" si="19"/>
        <v>0.11933427941448564</v>
      </c>
    </row>
    <row r="230" spans="1:12" x14ac:dyDescent="0.3">
      <c r="A230" s="19">
        <v>8.2469999999999999</v>
      </c>
      <c r="B230" s="19">
        <v>3.95</v>
      </c>
      <c r="C230" s="20">
        <v>17.399999999999999</v>
      </c>
      <c r="D230" s="20">
        <v>1014300</v>
      </c>
      <c r="E230" s="21">
        <f t="shared" si="15"/>
        <v>747351.60151673481</v>
      </c>
      <c r="G230" s="21">
        <f t="shared" si="16"/>
        <v>-266948.39848326519</v>
      </c>
      <c r="H230" s="21">
        <f t="shared" si="17"/>
        <v>71261447452.780136</v>
      </c>
      <c r="K230" s="21">
        <f t="shared" si="18"/>
        <v>266948.39848326519</v>
      </c>
      <c r="L230" s="22">
        <f t="shared" si="19"/>
        <v>0.26318485505596489</v>
      </c>
    </row>
    <row r="231" spans="1:12" x14ac:dyDescent="0.3">
      <c r="A231" s="19">
        <v>6.726</v>
      </c>
      <c r="B231" s="19">
        <v>8.0500000000000007</v>
      </c>
      <c r="C231" s="20">
        <v>17.399999999999999</v>
      </c>
      <c r="D231" s="20">
        <v>609000</v>
      </c>
      <c r="E231" s="21">
        <f t="shared" si="15"/>
        <v>571205.33651673491</v>
      </c>
      <c r="G231" s="21">
        <f t="shared" si="16"/>
        <v>-37794.663483265089</v>
      </c>
      <c r="H231" s="21">
        <f t="shared" si="17"/>
        <v>1428436587.8132515</v>
      </c>
      <c r="K231" s="21">
        <f t="shared" si="18"/>
        <v>37794.663483265089</v>
      </c>
      <c r="L231" s="22">
        <f t="shared" si="19"/>
        <v>6.2060202763982081E-2</v>
      </c>
    </row>
    <row r="232" spans="1:12" x14ac:dyDescent="0.3">
      <c r="A232" s="19">
        <v>6.0860000000000003</v>
      </c>
      <c r="B232" s="19">
        <v>10.88</v>
      </c>
      <c r="C232" s="20">
        <v>17.399999999999999</v>
      </c>
      <c r="D232" s="20">
        <v>504000</v>
      </c>
      <c r="E232" s="21">
        <f t="shared" si="15"/>
        <v>485101.06651673507</v>
      </c>
      <c r="G232" s="21">
        <f t="shared" si="16"/>
        <v>-18898.933483264933</v>
      </c>
      <c r="H232" s="21">
        <f t="shared" si="17"/>
        <v>357169686.80487239</v>
      </c>
      <c r="K232" s="21">
        <f t="shared" si="18"/>
        <v>18898.933483264933</v>
      </c>
      <c r="L232" s="22">
        <f t="shared" si="19"/>
        <v>3.7497883895366929E-2</v>
      </c>
    </row>
    <row r="233" spans="1:12" x14ac:dyDescent="0.3">
      <c r="A233" s="19">
        <v>6.6310000000000002</v>
      </c>
      <c r="B233" s="19">
        <v>9.5399999999999991</v>
      </c>
      <c r="C233" s="20">
        <v>17.399999999999999</v>
      </c>
      <c r="D233" s="20">
        <v>527100</v>
      </c>
      <c r="E233" s="21">
        <f t="shared" si="15"/>
        <v>546816.65151673509</v>
      </c>
      <c r="G233" s="21">
        <f t="shared" si="16"/>
        <v>19716.651516735088</v>
      </c>
      <c r="H233" s="21">
        <f t="shared" si="17"/>
        <v>388746347.03237206</v>
      </c>
      <c r="K233" s="21">
        <f t="shared" si="18"/>
        <v>19716.651516735088</v>
      </c>
      <c r="L233" s="22">
        <f t="shared" si="19"/>
        <v>3.7405903086198233E-2</v>
      </c>
    </row>
    <row r="234" spans="1:12" x14ac:dyDescent="0.3">
      <c r="A234" s="19">
        <v>7.3579999999999997</v>
      </c>
      <c r="B234" s="19">
        <v>4.7300000000000004</v>
      </c>
      <c r="C234" s="20">
        <v>17.399999999999999</v>
      </c>
      <c r="D234" s="20">
        <v>661500</v>
      </c>
      <c r="E234" s="21">
        <f t="shared" si="15"/>
        <v>661933.09651673492</v>
      </c>
      <c r="G234" s="21">
        <f t="shared" si="16"/>
        <v>433.09651673492044</v>
      </c>
      <c r="H234" s="21">
        <f t="shared" si="17"/>
        <v>187572.59280792123</v>
      </c>
      <c r="K234" s="21">
        <f t="shared" si="18"/>
        <v>433.09651673492044</v>
      </c>
      <c r="L234" s="22">
        <f t="shared" si="19"/>
        <v>6.5471884616012156E-4</v>
      </c>
    </row>
    <row r="235" spans="1:12" x14ac:dyDescent="0.3">
      <c r="A235" s="19">
        <v>6.4809999999999999</v>
      </c>
      <c r="B235" s="19">
        <v>6.36</v>
      </c>
      <c r="C235" s="20">
        <v>16.600000000000001</v>
      </c>
      <c r="D235" s="20">
        <v>497700</v>
      </c>
      <c r="E235" s="21">
        <f t="shared" si="15"/>
        <v>583925.32151673501</v>
      </c>
      <c r="G235" s="21">
        <f t="shared" si="16"/>
        <v>86225.321516735014</v>
      </c>
      <c r="H235" s="21">
        <f t="shared" si="17"/>
        <v>7434806070.6643257</v>
      </c>
      <c r="K235" s="21">
        <f t="shared" si="18"/>
        <v>86225.321516735014</v>
      </c>
      <c r="L235" s="22">
        <f t="shared" si="19"/>
        <v>0.17324758191025721</v>
      </c>
    </row>
    <row r="236" spans="1:12" x14ac:dyDescent="0.3">
      <c r="A236" s="19">
        <v>6.6059999999999999</v>
      </c>
      <c r="B236" s="19">
        <v>7.37</v>
      </c>
      <c r="C236" s="20">
        <v>16.600000000000001</v>
      </c>
      <c r="D236" s="20">
        <v>489300</v>
      </c>
      <c r="E236" s="21">
        <f t="shared" si="15"/>
        <v>583788.45651673502</v>
      </c>
      <c r="G236" s="21">
        <f t="shared" si="16"/>
        <v>94488.456516735023</v>
      </c>
      <c r="H236" s="21">
        <f t="shared" si="17"/>
        <v>8928068414.9149246</v>
      </c>
      <c r="K236" s="21">
        <f t="shared" si="18"/>
        <v>94488.456516735023</v>
      </c>
      <c r="L236" s="22">
        <f t="shared" si="19"/>
        <v>0.19310945537857147</v>
      </c>
    </row>
    <row r="237" spans="1:12" x14ac:dyDescent="0.3">
      <c r="A237" s="19">
        <v>6.8970000000000002</v>
      </c>
      <c r="B237" s="19">
        <v>11.38</v>
      </c>
      <c r="C237" s="20">
        <v>16.600000000000001</v>
      </c>
      <c r="D237" s="20">
        <v>462000</v>
      </c>
      <c r="E237" s="21">
        <f t="shared" si="15"/>
        <v>565474.38151673507</v>
      </c>
      <c r="G237" s="21">
        <f t="shared" si="16"/>
        <v>103474.38151673507</v>
      </c>
      <c r="H237" s="21">
        <f t="shared" si="17"/>
        <v>10706947630.270844</v>
      </c>
      <c r="K237" s="21">
        <f t="shared" si="18"/>
        <v>103474.38151673507</v>
      </c>
      <c r="L237" s="22">
        <f t="shared" si="19"/>
        <v>0.22397052276349583</v>
      </c>
    </row>
    <row r="238" spans="1:12" x14ac:dyDescent="0.3">
      <c r="A238" s="19">
        <v>6.0949999999999998</v>
      </c>
      <c r="B238" s="19">
        <v>12.4</v>
      </c>
      <c r="C238" s="20">
        <v>16.600000000000001</v>
      </c>
      <c r="D238" s="20">
        <v>422100</v>
      </c>
      <c r="E238" s="21">
        <f t="shared" si="15"/>
        <v>484983.27151673503</v>
      </c>
      <c r="G238" s="21">
        <f t="shared" si="16"/>
        <v>62883.271516735025</v>
      </c>
      <c r="H238" s="21">
        <f t="shared" si="17"/>
        <v>3954305836.6474185</v>
      </c>
      <c r="K238" s="21">
        <f t="shared" si="18"/>
        <v>62883.271516735025</v>
      </c>
      <c r="L238" s="22">
        <f t="shared" si="19"/>
        <v>0.14897718909437344</v>
      </c>
    </row>
    <row r="239" spans="1:12" x14ac:dyDescent="0.3">
      <c r="A239" s="19">
        <v>6.3579999999999997</v>
      </c>
      <c r="B239" s="19">
        <v>11.22</v>
      </c>
      <c r="C239" s="20">
        <v>16.600000000000001</v>
      </c>
      <c r="D239" s="20">
        <v>466200</v>
      </c>
      <c r="E239" s="21">
        <f t="shared" si="15"/>
        <v>520551.68651673495</v>
      </c>
      <c r="G239" s="21">
        <f t="shared" si="16"/>
        <v>54351.686516734946</v>
      </c>
      <c r="H239" s="21">
        <f t="shared" si="17"/>
        <v>2954105827.2134275</v>
      </c>
      <c r="K239" s="21">
        <f t="shared" si="18"/>
        <v>54351.686516734946</v>
      </c>
      <c r="L239" s="22">
        <f t="shared" si="19"/>
        <v>0.11658448416288063</v>
      </c>
    </row>
    <row r="240" spans="1:12" x14ac:dyDescent="0.3">
      <c r="A240" s="19">
        <v>6.3929999999999998</v>
      </c>
      <c r="B240" s="19">
        <v>5.19</v>
      </c>
      <c r="C240" s="20">
        <v>16.600000000000001</v>
      </c>
      <c r="D240" s="20">
        <v>497700</v>
      </c>
      <c r="E240" s="21">
        <f t="shared" si="15"/>
        <v>589000.93151673488</v>
      </c>
      <c r="G240" s="21">
        <f t="shared" si="16"/>
        <v>91300.931516734883</v>
      </c>
      <c r="H240" s="21">
        <f t="shared" si="17"/>
        <v>8335860095.823513</v>
      </c>
      <c r="K240" s="21">
        <f t="shared" si="18"/>
        <v>91300.931516734883</v>
      </c>
      <c r="L240" s="22">
        <f t="shared" si="19"/>
        <v>0.18344571331471746</v>
      </c>
    </row>
    <row r="241" spans="1:12" x14ac:dyDescent="0.3">
      <c r="A241" s="19">
        <v>5.593</v>
      </c>
      <c r="B241" s="19">
        <v>12.5</v>
      </c>
      <c r="C241" s="20">
        <v>19.100000000000001</v>
      </c>
      <c r="D241" s="20">
        <v>369600</v>
      </c>
      <c r="E241" s="21">
        <f t="shared" si="15"/>
        <v>391712.741516735</v>
      </c>
      <c r="G241" s="21">
        <f t="shared" si="16"/>
        <v>22112.741516734997</v>
      </c>
      <c r="H241" s="21">
        <f t="shared" si="17"/>
        <v>488973337.3859356</v>
      </c>
      <c r="K241" s="21">
        <f t="shared" si="18"/>
        <v>22112.741516734997</v>
      </c>
      <c r="L241" s="22">
        <f t="shared" si="19"/>
        <v>5.982884609506222E-2</v>
      </c>
    </row>
    <row r="242" spans="1:12" x14ac:dyDescent="0.3">
      <c r="A242" s="19">
        <v>5.6050000000000004</v>
      </c>
      <c r="B242" s="19">
        <v>18.46</v>
      </c>
      <c r="C242" s="20">
        <v>19.100000000000001</v>
      </c>
      <c r="D242" s="20">
        <v>388500</v>
      </c>
      <c r="E242" s="21">
        <f t="shared" si="15"/>
        <v>328091.48151673499</v>
      </c>
      <c r="G242" s="21">
        <f t="shared" si="16"/>
        <v>-60408.518483265012</v>
      </c>
      <c r="H242" s="21">
        <f t="shared" si="17"/>
        <v>3649189105.3429704</v>
      </c>
      <c r="K242" s="21">
        <f t="shared" si="18"/>
        <v>60408.518483265012</v>
      </c>
      <c r="L242" s="22">
        <f t="shared" si="19"/>
        <v>0.15549168206760622</v>
      </c>
    </row>
    <row r="243" spans="1:12" x14ac:dyDescent="0.3">
      <c r="A243" s="19">
        <v>6.1079999999999997</v>
      </c>
      <c r="B243" s="19">
        <v>9.16</v>
      </c>
      <c r="C243" s="20">
        <v>19.100000000000001</v>
      </c>
      <c r="D243" s="20">
        <v>510300</v>
      </c>
      <c r="E243" s="21">
        <f t="shared" si="15"/>
        <v>472529.37651673501</v>
      </c>
      <c r="G243" s="21">
        <f t="shared" si="16"/>
        <v>-37770.623483264993</v>
      </c>
      <c r="H243" s="21">
        <f t="shared" si="17"/>
        <v>1426619998.314569</v>
      </c>
      <c r="K243" s="21">
        <f t="shared" si="18"/>
        <v>37770.623483264993</v>
      </c>
      <c r="L243" s="22">
        <f t="shared" si="19"/>
        <v>7.401650692389769E-2</v>
      </c>
    </row>
    <row r="244" spans="1:12" x14ac:dyDescent="0.3">
      <c r="A244" s="19">
        <v>6.226</v>
      </c>
      <c r="B244" s="19">
        <v>10.15</v>
      </c>
      <c r="C244" s="20">
        <v>19.100000000000001</v>
      </c>
      <c r="D244" s="20">
        <v>430500</v>
      </c>
      <c r="E244" s="21">
        <f t="shared" si="15"/>
        <v>472003.53651673492</v>
      </c>
      <c r="G244" s="21">
        <f t="shared" si="16"/>
        <v>41503.536516734923</v>
      </c>
      <c r="H244" s="21">
        <f t="shared" si="17"/>
        <v>1722543543.3959491</v>
      </c>
      <c r="K244" s="21">
        <f t="shared" si="18"/>
        <v>41503.536516734923</v>
      </c>
      <c r="L244" s="22">
        <f t="shared" si="19"/>
        <v>9.6407750329233266E-2</v>
      </c>
    </row>
    <row r="245" spans="1:12" x14ac:dyDescent="0.3">
      <c r="A245" s="19">
        <v>6.4329999999999998</v>
      </c>
      <c r="B245" s="19">
        <v>9.52</v>
      </c>
      <c r="C245" s="20">
        <v>19.100000000000001</v>
      </c>
      <c r="D245" s="20">
        <v>514500</v>
      </c>
      <c r="E245" s="21">
        <f t="shared" si="15"/>
        <v>496757.36151673499</v>
      </c>
      <c r="G245" s="21">
        <f t="shared" si="16"/>
        <v>-17742.638483265007</v>
      </c>
      <c r="H245" s="21">
        <f t="shared" si="17"/>
        <v>314801220.34783638</v>
      </c>
      <c r="K245" s="21">
        <f t="shared" si="18"/>
        <v>17742.638483265007</v>
      </c>
      <c r="L245" s="22">
        <f t="shared" si="19"/>
        <v>3.448520599274054E-2</v>
      </c>
    </row>
    <row r="246" spans="1:12" x14ac:dyDescent="0.3">
      <c r="A246" s="19">
        <v>6.718</v>
      </c>
      <c r="B246" s="19">
        <v>6.56</v>
      </c>
      <c r="C246" s="20">
        <v>19.100000000000001</v>
      </c>
      <c r="D246" s="20">
        <v>550200</v>
      </c>
      <c r="E246" s="21">
        <f t="shared" si="15"/>
        <v>553541.42651673523</v>
      </c>
      <c r="G246" s="21">
        <f t="shared" si="16"/>
        <v>3341.4265167352278</v>
      </c>
      <c r="H246" s="21">
        <f t="shared" si="17"/>
        <v>11165131.166741317</v>
      </c>
      <c r="K246" s="21">
        <f t="shared" si="18"/>
        <v>3341.4265167352278</v>
      </c>
      <c r="L246" s="22">
        <f t="shared" si="19"/>
        <v>6.0731125349604287E-3</v>
      </c>
    </row>
    <row r="247" spans="1:12" x14ac:dyDescent="0.3">
      <c r="A247" s="19">
        <v>6.4870000000000001</v>
      </c>
      <c r="B247" s="19">
        <v>5.9</v>
      </c>
      <c r="C247" s="20">
        <v>19.100000000000001</v>
      </c>
      <c r="D247" s="20">
        <v>512400</v>
      </c>
      <c r="E247" s="21">
        <f t="shared" si="15"/>
        <v>540705.25151673495</v>
      </c>
      <c r="G247" s="21">
        <f t="shared" si="16"/>
        <v>28305.251516734948</v>
      </c>
      <c r="H247" s="21">
        <f t="shared" si="17"/>
        <v>801187263.42562604</v>
      </c>
      <c r="K247" s="21">
        <f t="shared" si="18"/>
        <v>28305.251516734948</v>
      </c>
      <c r="L247" s="22">
        <f t="shared" si="19"/>
        <v>5.5240537698545956E-2</v>
      </c>
    </row>
    <row r="248" spans="1:12" x14ac:dyDescent="0.3">
      <c r="A248" s="19">
        <v>6.4379999999999997</v>
      </c>
      <c r="B248" s="19">
        <v>3.59</v>
      </c>
      <c r="C248" s="20">
        <v>19.100000000000001</v>
      </c>
      <c r="D248" s="20">
        <v>520800</v>
      </c>
      <c r="E248" s="21">
        <f t="shared" si="15"/>
        <v>561524.75651673484</v>
      </c>
      <c r="G248" s="21">
        <f t="shared" si="16"/>
        <v>40724.756516734837</v>
      </c>
      <c r="H248" s="21">
        <f t="shared" si="17"/>
        <v>1658505793.3473365</v>
      </c>
      <c r="K248" s="21">
        <f t="shared" si="18"/>
        <v>40724.756516734837</v>
      </c>
      <c r="L248" s="22">
        <f t="shared" si="19"/>
        <v>7.8196537090504684E-2</v>
      </c>
    </row>
    <row r="249" spans="1:12" x14ac:dyDescent="0.3">
      <c r="A249" s="19">
        <v>6.9569999999999999</v>
      </c>
      <c r="B249" s="19">
        <v>3.53</v>
      </c>
      <c r="C249" s="20">
        <v>19.100000000000001</v>
      </c>
      <c r="D249" s="20">
        <v>621600</v>
      </c>
      <c r="E249" s="21">
        <f t="shared" si="15"/>
        <v>607102.93151673512</v>
      </c>
      <c r="G249" s="21">
        <f t="shared" si="16"/>
        <v>-14497.068483264884</v>
      </c>
      <c r="H249" s="21">
        <f t="shared" si="17"/>
        <v>210164994.60847199</v>
      </c>
      <c r="K249" s="21">
        <f t="shared" si="18"/>
        <v>14497.068483264884</v>
      </c>
      <c r="L249" s="22">
        <f t="shared" si="19"/>
        <v>2.3322182244634625E-2</v>
      </c>
    </row>
    <row r="250" spans="1:12" x14ac:dyDescent="0.3">
      <c r="A250" s="19">
        <v>8.2590000000000003</v>
      </c>
      <c r="B250" s="19">
        <v>3.54</v>
      </c>
      <c r="C250" s="20">
        <v>19.100000000000001</v>
      </c>
      <c r="D250" s="20">
        <v>898800</v>
      </c>
      <c r="E250" s="21">
        <f t="shared" si="15"/>
        <v>719702.07151673525</v>
      </c>
      <c r="G250" s="21">
        <f t="shared" si="16"/>
        <v>-179097.92848326475</v>
      </c>
      <c r="H250" s="21">
        <f t="shared" si="17"/>
        <v>32076067986.996616</v>
      </c>
      <c r="K250" s="21">
        <f t="shared" si="18"/>
        <v>179097.92848326475</v>
      </c>
      <c r="L250" s="22">
        <f t="shared" si="19"/>
        <v>0.19926338282517217</v>
      </c>
    </row>
    <row r="251" spans="1:12" x14ac:dyDescent="0.3">
      <c r="A251" s="19">
        <v>6.1079999999999997</v>
      </c>
      <c r="B251" s="19">
        <v>6.57</v>
      </c>
      <c r="C251" s="20">
        <v>16.399999999999999</v>
      </c>
      <c r="D251" s="20">
        <v>459900</v>
      </c>
      <c r="E251" s="21">
        <f t="shared" si="15"/>
        <v>553256.686516735</v>
      </c>
      <c r="G251" s="21">
        <f t="shared" si="16"/>
        <v>93356.686516735004</v>
      </c>
      <c r="H251" s="21">
        <f t="shared" si="17"/>
        <v>8715470917.3839321</v>
      </c>
      <c r="K251" s="21">
        <f t="shared" si="18"/>
        <v>93356.686516735004</v>
      </c>
      <c r="L251" s="22">
        <f t="shared" si="19"/>
        <v>0.20299344752497284</v>
      </c>
    </row>
    <row r="252" spans="1:12" x14ac:dyDescent="0.3">
      <c r="A252" s="19">
        <v>5.8760000000000003</v>
      </c>
      <c r="B252" s="19">
        <v>9.25</v>
      </c>
      <c r="C252" s="20">
        <v>16.399999999999999</v>
      </c>
      <c r="D252" s="20">
        <v>438900</v>
      </c>
      <c r="E252" s="21">
        <f t="shared" si="15"/>
        <v>504098.28651673504</v>
      </c>
      <c r="G252" s="21">
        <f t="shared" si="16"/>
        <v>65198.286516735039</v>
      </c>
      <c r="H252" s="21">
        <f t="shared" si="17"/>
        <v>4250816564.7182741</v>
      </c>
      <c r="K252" s="21">
        <f t="shared" si="18"/>
        <v>65198.286516735039</v>
      </c>
      <c r="L252" s="22">
        <f t="shared" si="19"/>
        <v>0.14854929714453188</v>
      </c>
    </row>
    <row r="253" spans="1:12" x14ac:dyDescent="0.3">
      <c r="A253" s="19">
        <v>7.4539999999999997</v>
      </c>
      <c r="B253" s="19">
        <v>3.11</v>
      </c>
      <c r="C253" s="20">
        <v>15.9</v>
      </c>
      <c r="D253" s="20">
        <v>924000</v>
      </c>
      <c r="E253" s="21">
        <f t="shared" si="15"/>
        <v>717056.71651673503</v>
      </c>
      <c r="G253" s="21">
        <f t="shared" si="16"/>
        <v>-206943.28348326497</v>
      </c>
      <c r="H253" s="21">
        <f t="shared" si="17"/>
        <v>42825522578.834969</v>
      </c>
      <c r="K253" s="21">
        <f t="shared" si="18"/>
        <v>206943.28348326497</v>
      </c>
      <c r="L253" s="22">
        <f t="shared" si="19"/>
        <v>0.22396459251435602</v>
      </c>
    </row>
    <row r="254" spans="1:12" x14ac:dyDescent="0.3">
      <c r="A254" s="19">
        <v>7.3330000000000002</v>
      </c>
      <c r="B254" s="19">
        <v>7.79</v>
      </c>
      <c r="C254" s="20">
        <v>13</v>
      </c>
      <c r="D254" s="20">
        <v>756000</v>
      </c>
      <c r="E254" s="21">
        <f t="shared" si="15"/>
        <v>712335.83151673502</v>
      </c>
      <c r="G254" s="21">
        <f t="shared" si="16"/>
        <v>-43664.168483264977</v>
      </c>
      <c r="H254" s="21">
        <f t="shared" si="17"/>
        <v>1906559609.3349504</v>
      </c>
      <c r="K254" s="21">
        <f t="shared" si="18"/>
        <v>43664.168483264977</v>
      </c>
      <c r="L254" s="22">
        <f t="shared" si="19"/>
        <v>5.7756836618075368E-2</v>
      </c>
    </row>
    <row r="255" spans="1:12" x14ac:dyDescent="0.3">
      <c r="A255" s="19">
        <v>6.8419999999999996</v>
      </c>
      <c r="B255" s="19">
        <v>6.9</v>
      </c>
      <c r="C255" s="20">
        <v>13</v>
      </c>
      <c r="D255" s="20">
        <v>632100</v>
      </c>
      <c r="E255" s="21">
        <f t="shared" si="15"/>
        <v>679488.02651673497</v>
      </c>
      <c r="G255" s="21">
        <f t="shared" si="16"/>
        <v>47388.026516734972</v>
      </c>
      <c r="H255" s="21">
        <f t="shared" si="17"/>
        <v>2245625057.1507769</v>
      </c>
      <c r="K255" s="21">
        <f t="shared" si="18"/>
        <v>47388.026516734972</v>
      </c>
      <c r="L255" s="22">
        <f t="shared" si="19"/>
        <v>7.4969192401099463E-2</v>
      </c>
    </row>
    <row r="256" spans="1:12" x14ac:dyDescent="0.3">
      <c r="A256" s="19">
        <v>7.2030000000000003</v>
      </c>
      <c r="B256" s="19">
        <v>9.59</v>
      </c>
      <c r="C256" s="20">
        <v>13</v>
      </c>
      <c r="D256" s="20">
        <v>709800</v>
      </c>
      <c r="E256" s="21">
        <f t="shared" si="15"/>
        <v>681554.181516735</v>
      </c>
      <c r="G256" s="21">
        <f t="shared" si="16"/>
        <v>-28245.818483265</v>
      </c>
      <c r="H256" s="21">
        <f t="shared" si="17"/>
        <v>797826261.78955472</v>
      </c>
      <c r="K256" s="21">
        <f t="shared" si="18"/>
        <v>28245.818483265</v>
      </c>
      <c r="L256" s="22">
        <f t="shared" si="19"/>
        <v>3.9794052526437022E-2</v>
      </c>
    </row>
    <row r="257" spans="1:12" x14ac:dyDescent="0.3">
      <c r="A257" s="19">
        <v>7.52</v>
      </c>
      <c r="B257" s="19">
        <v>7.26</v>
      </c>
      <c r="C257" s="20">
        <v>13</v>
      </c>
      <c r="D257" s="20">
        <v>905100</v>
      </c>
      <c r="E257" s="21">
        <f t="shared" si="15"/>
        <v>734273.45651673502</v>
      </c>
      <c r="G257" s="21">
        <f t="shared" si="16"/>
        <v>-170826.54348326498</v>
      </c>
      <c r="H257" s="21">
        <f t="shared" si="17"/>
        <v>29181707958.439819</v>
      </c>
      <c r="K257" s="21">
        <f t="shared" si="18"/>
        <v>170826.54348326498</v>
      </c>
      <c r="L257" s="22">
        <f t="shared" si="19"/>
        <v>0.1887377565829908</v>
      </c>
    </row>
    <row r="258" spans="1:12" x14ac:dyDescent="0.3">
      <c r="A258" s="19">
        <v>8.3979999999999997</v>
      </c>
      <c r="B258" s="19">
        <v>5.91</v>
      </c>
      <c r="C258" s="20">
        <v>13</v>
      </c>
      <c r="D258" s="20">
        <v>1024800</v>
      </c>
      <c r="E258" s="21">
        <f t="shared" si="15"/>
        <v>824923.67651673499</v>
      </c>
      <c r="G258" s="21">
        <f t="shared" si="16"/>
        <v>-199876.32348326501</v>
      </c>
      <c r="H258" s="21">
        <f t="shared" si="17"/>
        <v>39950544689.18679</v>
      </c>
      <c r="K258" s="21">
        <f t="shared" si="18"/>
        <v>199876.32348326501</v>
      </c>
      <c r="L258" s="22">
        <f t="shared" si="19"/>
        <v>0.19503934766126563</v>
      </c>
    </row>
    <row r="259" spans="1:12" x14ac:dyDescent="0.3">
      <c r="A259" s="19">
        <v>7.327</v>
      </c>
      <c r="B259" s="19">
        <v>11.25</v>
      </c>
      <c r="C259" s="20">
        <v>13</v>
      </c>
      <c r="D259" s="20">
        <v>651000</v>
      </c>
      <c r="E259" s="21">
        <f t="shared" si="15"/>
        <v>674278.90151673509</v>
      </c>
      <c r="G259" s="21">
        <f t="shared" si="16"/>
        <v>23278.901516735088</v>
      </c>
      <c r="H259" s="21">
        <f t="shared" si="17"/>
        <v>541907255.8258512</v>
      </c>
      <c r="K259" s="21">
        <f t="shared" si="18"/>
        <v>23278.901516735088</v>
      </c>
      <c r="L259" s="22">
        <f t="shared" si="19"/>
        <v>3.5758681285307355E-2</v>
      </c>
    </row>
    <row r="260" spans="1:12" x14ac:dyDescent="0.3">
      <c r="A260" s="19">
        <v>7.2060000000000004</v>
      </c>
      <c r="B260" s="19">
        <v>8.1</v>
      </c>
      <c r="C260" s="20">
        <v>13</v>
      </c>
      <c r="D260" s="20">
        <v>766500</v>
      </c>
      <c r="E260" s="21">
        <f t="shared" si="15"/>
        <v>697978.88651673507</v>
      </c>
      <c r="G260" s="21">
        <f t="shared" si="16"/>
        <v>-68521.113483264926</v>
      </c>
      <c r="H260" s="21">
        <f t="shared" si="17"/>
        <v>4695142992.9864702</v>
      </c>
      <c r="K260" s="21">
        <f t="shared" si="18"/>
        <v>68521.113483264926</v>
      </c>
      <c r="L260" s="22">
        <f t="shared" si="19"/>
        <v>8.9394799064924882E-2</v>
      </c>
    </row>
    <row r="261" spans="1:12" x14ac:dyDescent="0.3">
      <c r="A261" s="19">
        <v>5.56</v>
      </c>
      <c r="B261" s="19">
        <v>10.45</v>
      </c>
      <c r="C261" s="20">
        <v>13</v>
      </c>
      <c r="D261" s="20">
        <v>478800</v>
      </c>
      <c r="E261" s="21">
        <f t="shared" si="15"/>
        <v>529997.74651673506</v>
      </c>
      <c r="G261" s="21">
        <f t="shared" si="16"/>
        <v>51197.74651673506</v>
      </c>
      <c r="H261" s="21">
        <f t="shared" si="17"/>
        <v>2621209248.3918571</v>
      </c>
      <c r="K261" s="21">
        <f t="shared" si="18"/>
        <v>51197.74651673506</v>
      </c>
      <c r="L261" s="22">
        <f t="shared" si="19"/>
        <v>0.10692929514773404</v>
      </c>
    </row>
    <row r="262" spans="1:12" x14ac:dyDescent="0.3">
      <c r="A262" s="19">
        <v>7.0140000000000002</v>
      </c>
      <c r="B262" s="19">
        <v>14.79</v>
      </c>
      <c r="C262" s="20">
        <v>13</v>
      </c>
      <c r="D262" s="20">
        <v>644700</v>
      </c>
      <c r="E262" s="21">
        <f t="shared" ref="E262:E325" si="20">415464.396516735+86565*(A262)-10849*(B262)-19492*(C262)</f>
        <v>608778.59651673515</v>
      </c>
      <c r="G262" s="21">
        <f t="shared" ref="G262:G325" si="21">E262-D262</f>
        <v>-35921.403483264847</v>
      </c>
      <c r="H262" s="21">
        <f t="shared" ref="H262:H325" si="22">G262^2</f>
        <v>1290347228.2075119</v>
      </c>
      <c r="K262" s="21">
        <f t="shared" ref="K262:K325" si="23">ABS(G262)</f>
        <v>35921.403483264847</v>
      </c>
      <c r="L262" s="22">
        <f t="shared" ref="L262:L325" si="24">ABS(G262/D262)</f>
        <v>5.5718013778912438E-2</v>
      </c>
    </row>
    <row r="263" spans="1:12" x14ac:dyDescent="0.3">
      <c r="A263" s="19">
        <v>7.47</v>
      </c>
      <c r="B263" s="19">
        <v>3.16</v>
      </c>
      <c r="C263" s="20">
        <v>13</v>
      </c>
      <c r="D263" s="20">
        <v>913500</v>
      </c>
      <c r="E263" s="21">
        <f t="shared" si="20"/>
        <v>774426.10651673505</v>
      </c>
      <c r="G263" s="21">
        <f t="shared" si="21"/>
        <v>-139073.89348326495</v>
      </c>
      <c r="H263" s="21">
        <f t="shared" si="22"/>
        <v>19341547848.594524</v>
      </c>
      <c r="K263" s="21">
        <f t="shared" si="23"/>
        <v>139073.89348326495</v>
      </c>
      <c r="L263" s="22">
        <f t="shared" si="24"/>
        <v>0.15224290474358507</v>
      </c>
    </row>
    <row r="264" spans="1:12" x14ac:dyDescent="0.3">
      <c r="A264" s="19">
        <v>5.92</v>
      </c>
      <c r="B264" s="19">
        <v>13.65</v>
      </c>
      <c r="C264" s="20">
        <v>18.600000000000001</v>
      </c>
      <c r="D264" s="20">
        <v>434700</v>
      </c>
      <c r="E264" s="21">
        <f t="shared" si="20"/>
        <v>417289.14651673503</v>
      </c>
      <c r="G264" s="21">
        <f t="shared" si="21"/>
        <v>-17410.853483264975</v>
      </c>
      <c r="H264" s="21">
        <f t="shared" si="22"/>
        <v>303137819.01572013</v>
      </c>
      <c r="K264" s="21">
        <f t="shared" si="23"/>
        <v>17410.853483264975</v>
      </c>
      <c r="L264" s="22">
        <f t="shared" si="24"/>
        <v>4.0052573000379517E-2</v>
      </c>
    </row>
    <row r="265" spans="1:12" x14ac:dyDescent="0.3">
      <c r="A265" s="19">
        <v>5.8559999999999999</v>
      </c>
      <c r="B265" s="19">
        <v>13</v>
      </c>
      <c r="C265" s="20">
        <v>18.600000000000001</v>
      </c>
      <c r="D265" s="20">
        <v>443100</v>
      </c>
      <c r="E265" s="21">
        <f t="shared" si="20"/>
        <v>418800.83651673509</v>
      </c>
      <c r="G265" s="21">
        <f t="shared" si="21"/>
        <v>-24299.163483264914</v>
      </c>
      <c r="H265" s="21">
        <f t="shared" si="22"/>
        <v>590449345.98643506</v>
      </c>
      <c r="K265" s="21">
        <f t="shared" si="23"/>
        <v>24299.163483264914</v>
      </c>
      <c r="L265" s="22">
        <f t="shared" si="24"/>
        <v>5.4839005829981753E-2</v>
      </c>
    </row>
    <row r="266" spans="1:12" x14ac:dyDescent="0.3">
      <c r="A266" s="19">
        <v>6.24</v>
      </c>
      <c r="B266" s="19">
        <v>6.59</v>
      </c>
      <c r="C266" s="20">
        <v>18.600000000000001</v>
      </c>
      <c r="D266" s="20">
        <v>529200</v>
      </c>
      <c r="E266" s="21">
        <f t="shared" si="20"/>
        <v>521583.88651673502</v>
      </c>
      <c r="G266" s="21">
        <f t="shared" si="21"/>
        <v>-7616.1134832649841</v>
      </c>
      <c r="H266" s="21">
        <f t="shared" si="22"/>
        <v>58005184.589970686</v>
      </c>
      <c r="K266" s="21">
        <f t="shared" si="23"/>
        <v>7616.1134832649841</v>
      </c>
      <c r="L266" s="22">
        <f t="shared" si="24"/>
        <v>1.4391748834589917E-2</v>
      </c>
    </row>
    <row r="267" spans="1:12" x14ac:dyDescent="0.3">
      <c r="A267" s="19">
        <v>6.5380000000000003</v>
      </c>
      <c r="B267" s="19">
        <v>7.73</v>
      </c>
      <c r="C267" s="20">
        <v>18.600000000000001</v>
      </c>
      <c r="D267" s="20">
        <v>512400</v>
      </c>
      <c r="E267" s="21">
        <f t="shared" si="20"/>
        <v>535012.39651673497</v>
      </c>
      <c r="G267" s="21">
        <f t="shared" si="21"/>
        <v>22612.396516734967</v>
      </c>
      <c r="H267" s="21">
        <f t="shared" si="22"/>
        <v>511320476.23004764</v>
      </c>
      <c r="K267" s="21">
        <f t="shared" si="23"/>
        <v>22612.396516734967</v>
      </c>
      <c r="L267" s="22">
        <f t="shared" si="24"/>
        <v>4.4130360102917578E-2</v>
      </c>
    </row>
    <row r="268" spans="1:12" x14ac:dyDescent="0.3">
      <c r="A268" s="19">
        <v>7.6909999999999998</v>
      </c>
      <c r="B268" s="19">
        <v>6.58</v>
      </c>
      <c r="C268" s="20">
        <v>18.600000000000001</v>
      </c>
      <c r="D268" s="20">
        <v>739200</v>
      </c>
      <c r="E268" s="21">
        <f t="shared" si="20"/>
        <v>647298.19151673489</v>
      </c>
      <c r="G268" s="21">
        <f t="shared" si="21"/>
        <v>-91901.808483265107</v>
      </c>
      <c r="H268" s="21">
        <f t="shared" si="22"/>
        <v>8445942402.4947386</v>
      </c>
      <c r="K268" s="21">
        <f t="shared" si="23"/>
        <v>91901.808483265107</v>
      </c>
      <c r="L268" s="22">
        <f t="shared" si="24"/>
        <v>0.12432603961480669</v>
      </c>
    </row>
    <row r="269" spans="1:12" x14ac:dyDescent="0.3">
      <c r="A269" s="19">
        <v>6.758</v>
      </c>
      <c r="B269" s="19">
        <v>3.53</v>
      </c>
      <c r="C269" s="20">
        <v>17.600000000000001</v>
      </c>
      <c r="D269" s="20">
        <v>680400</v>
      </c>
      <c r="E269" s="21">
        <f t="shared" si="20"/>
        <v>619114.49651673506</v>
      </c>
      <c r="G269" s="21">
        <f t="shared" si="21"/>
        <v>-61285.50348326494</v>
      </c>
      <c r="H269" s="21">
        <f t="shared" si="22"/>
        <v>3755912937.197279</v>
      </c>
      <c r="K269" s="21">
        <f t="shared" si="23"/>
        <v>61285.50348326494</v>
      </c>
      <c r="L269" s="22">
        <f t="shared" si="24"/>
        <v>9.0072756442188331E-2</v>
      </c>
    </row>
    <row r="270" spans="1:12" x14ac:dyDescent="0.3">
      <c r="A270" s="19">
        <v>6.8540000000000001</v>
      </c>
      <c r="B270" s="19">
        <v>2.98</v>
      </c>
      <c r="C270" s="20">
        <v>17.600000000000001</v>
      </c>
      <c r="D270" s="20">
        <v>672000</v>
      </c>
      <c r="E270" s="21">
        <f t="shared" si="20"/>
        <v>633391.686516735</v>
      </c>
      <c r="G270" s="21">
        <f t="shared" si="21"/>
        <v>-38608.313483264996</v>
      </c>
      <c r="H270" s="21">
        <f t="shared" si="22"/>
        <v>1490601870.0220616</v>
      </c>
      <c r="K270" s="21">
        <f t="shared" si="23"/>
        <v>38608.313483264996</v>
      </c>
      <c r="L270" s="22">
        <f t="shared" si="24"/>
        <v>5.7452847445334812E-2</v>
      </c>
    </row>
    <row r="271" spans="1:12" x14ac:dyDescent="0.3">
      <c r="A271" s="19">
        <v>7.2670000000000003</v>
      </c>
      <c r="B271" s="19">
        <v>6.05</v>
      </c>
      <c r="C271" s="20">
        <v>17.600000000000001</v>
      </c>
      <c r="D271" s="20">
        <v>697200</v>
      </c>
      <c r="E271" s="21">
        <f t="shared" si="20"/>
        <v>635836.60151673504</v>
      </c>
      <c r="G271" s="21">
        <f t="shared" si="21"/>
        <v>-61363.398483264958</v>
      </c>
      <c r="H271" s="21">
        <f t="shared" si="22"/>
        <v>3765466673.4159641</v>
      </c>
      <c r="K271" s="21">
        <f t="shared" si="23"/>
        <v>61363.398483264958</v>
      </c>
      <c r="L271" s="22">
        <f t="shared" si="24"/>
        <v>8.8014054049433382E-2</v>
      </c>
    </row>
    <row r="272" spans="1:12" x14ac:dyDescent="0.3">
      <c r="A272" s="19">
        <v>6.8259999999999996</v>
      </c>
      <c r="B272" s="19">
        <v>4.16</v>
      </c>
      <c r="C272" s="20">
        <v>17.600000000000001</v>
      </c>
      <c r="D272" s="20">
        <v>695100</v>
      </c>
      <c r="E272" s="21">
        <f t="shared" si="20"/>
        <v>618166.04651673487</v>
      </c>
      <c r="G272" s="21">
        <f t="shared" si="21"/>
        <v>-76933.953483265126</v>
      </c>
      <c r="H272" s="21">
        <f t="shared" si="22"/>
        <v>5918833198.5652018</v>
      </c>
      <c r="K272" s="21">
        <f t="shared" si="23"/>
        <v>76933.953483265126</v>
      </c>
      <c r="L272" s="22">
        <f t="shared" si="24"/>
        <v>0.11068041070819325</v>
      </c>
    </row>
    <row r="273" spans="1:12" x14ac:dyDescent="0.3">
      <c r="A273" s="19">
        <v>6.4820000000000002</v>
      </c>
      <c r="B273" s="19">
        <v>7.19</v>
      </c>
      <c r="C273" s="20">
        <v>17.600000000000001</v>
      </c>
      <c r="D273" s="20">
        <v>611100</v>
      </c>
      <c r="E273" s="21">
        <f t="shared" si="20"/>
        <v>555515.21651673503</v>
      </c>
      <c r="G273" s="21">
        <f t="shared" si="21"/>
        <v>-55584.783483264968</v>
      </c>
      <c r="H273" s="21">
        <f t="shared" si="22"/>
        <v>3089668154.8814459</v>
      </c>
      <c r="K273" s="21">
        <f t="shared" si="23"/>
        <v>55584.783483264968</v>
      </c>
      <c r="L273" s="22">
        <f t="shared" si="24"/>
        <v>9.0958572219383027E-2</v>
      </c>
    </row>
    <row r="274" spans="1:12" x14ac:dyDescent="0.3">
      <c r="A274" s="19">
        <v>6.8120000000000003</v>
      </c>
      <c r="B274" s="19">
        <v>4.8499999999999996</v>
      </c>
      <c r="C274" s="20">
        <v>14.9</v>
      </c>
      <c r="D274" s="20">
        <v>737100</v>
      </c>
      <c r="E274" s="21">
        <f t="shared" si="20"/>
        <v>662096.72651673504</v>
      </c>
      <c r="G274" s="21">
        <f t="shared" si="21"/>
        <v>-75003.273483264958</v>
      </c>
      <c r="H274" s="21">
        <f t="shared" si="22"/>
        <v>5625491033.2054367</v>
      </c>
      <c r="K274" s="21">
        <f t="shared" si="23"/>
        <v>75003.273483264958</v>
      </c>
      <c r="L274" s="22">
        <f t="shared" si="24"/>
        <v>0.10175454278017224</v>
      </c>
    </row>
    <row r="275" spans="1:12" x14ac:dyDescent="0.3">
      <c r="A275" s="19">
        <v>7.82</v>
      </c>
      <c r="B275" s="19">
        <v>3.76</v>
      </c>
      <c r="C275" s="20">
        <v>14.9</v>
      </c>
      <c r="D275" s="20">
        <v>953400</v>
      </c>
      <c r="E275" s="21">
        <f t="shared" si="20"/>
        <v>761179.65651673498</v>
      </c>
      <c r="G275" s="21">
        <f t="shared" si="21"/>
        <v>-192220.34348326502</v>
      </c>
      <c r="H275" s="21">
        <f t="shared" si="22"/>
        <v>36948660448.824387</v>
      </c>
      <c r="K275" s="21">
        <f t="shared" si="23"/>
        <v>192220.34348326502</v>
      </c>
      <c r="L275" s="22">
        <f t="shared" si="24"/>
        <v>0.20161563193126184</v>
      </c>
    </row>
    <row r="276" spans="1:12" x14ac:dyDescent="0.3">
      <c r="A276" s="19">
        <v>6.968</v>
      </c>
      <c r="B276" s="19">
        <v>4.59</v>
      </c>
      <c r="C276" s="20">
        <v>14.9</v>
      </c>
      <c r="D276" s="20">
        <v>743400</v>
      </c>
      <c r="E276" s="21">
        <f t="shared" si="20"/>
        <v>678421.60651673516</v>
      </c>
      <c r="G276" s="21">
        <f t="shared" si="21"/>
        <v>-64978.393483264837</v>
      </c>
      <c r="H276" s="21">
        <f t="shared" si="22"/>
        <v>4222191619.6659942</v>
      </c>
      <c r="K276" s="21">
        <f t="shared" si="23"/>
        <v>64978.393483264837</v>
      </c>
      <c r="L276" s="22">
        <f t="shared" si="24"/>
        <v>8.7407039929062194E-2</v>
      </c>
    </row>
    <row r="277" spans="1:12" x14ac:dyDescent="0.3">
      <c r="A277" s="19">
        <v>7.6449999999999996</v>
      </c>
      <c r="B277" s="19">
        <v>3.01</v>
      </c>
      <c r="C277" s="20">
        <v>14.9</v>
      </c>
      <c r="D277" s="20">
        <v>966000</v>
      </c>
      <c r="E277" s="21">
        <f t="shared" si="20"/>
        <v>754167.53151673498</v>
      </c>
      <c r="G277" s="21">
        <f t="shared" si="21"/>
        <v>-211832.46848326502</v>
      </c>
      <c r="H277" s="21">
        <f t="shared" si="22"/>
        <v>44872994703.71347</v>
      </c>
      <c r="K277" s="21">
        <f t="shared" si="23"/>
        <v>211832.46848326502</v>
      </c>
      <c r="L277" s="22">
        <f t="shared" si="24"/>
        <v>0.21928826965141307</v>
      </c>
    </row>
    <row r="278" spans="1:12" x14ac:dyDescent="0.3">
      <c r="A278" s="19">
        <v>7.0880000000000001</v>
      </c>
      <c r="B278" s="19">
        <v>7.85</v>
      </c>
      <c r="C278" s="20">
        <v>15.3</v>
      </c>
      <c r="D278" s="20">
        <v>676200</v>
      </c>
      <c r="E278" s="21">
        <f t="shared" si="20"/>
        <v>645644.86651673494</v>
      </c>
      <c r="G278" s="21">
        <f t="shared" si="21"/>
        <v>-30555.133483265061</v>
      </c>
      <c r="H278" s="21">
        <f t="shared" si="22"/>
        <v>933616182.18014562</v>
      </c>
      <c r="K278" s="21">
        <f t="shared" si="23"/>
        <v>30555.133483265061</v>
      </c>
      <c r="L278" s="22">
        <f t="shared" si="24"/>
        <v>4.5186532805775011E-2</v>
      </c>
    </row>
    <row r="279" spans="1:12" x14ac:dyDescent="0.3">
      <c r="A279" s="19">
        <v>6.4530000000000003</v>
      </c>
      <c r="B279" s="19">
        <v>8.23</v>
      </c>
      <c r="C279" s="20">
        <v>15.3</v>
      </c>
      <c r="D279" s="20">
        <v>462000</v>
      </c>
      <c r="E279" s="21">
        <f t="shared" si="20"/>
        <v>586553.47151673492</v>
      </c>
      <c r="G279" s="21">
        <f t="shared" si="21"/>
        <v>124553.47151673492</v>
      </c>
      <c r="H279" s="21">
        <f t="shared" si="22"/>
        <v>15513567266.870096</v>
      </c>
      <c r="K279" s="21">
        <f t="shared" si="23"/>
        <v>124553.47151673492</v>
      </c>
      <c r="L279" s="22">
        <f t="shared" si="24"/>
        <v>0.26959625869423143</v>
      </c>
    </row>
    <row r="280" spans="1:12" x14ac:dyDescent="0.3">
      <c r="A280" s="19">
        <v>6.23</v>
      </c>
      <c r="B280" s="19">
        <v>12.93</v>
      </c>
      <c r="C280" s="20">
        <v>18.2</v>
      </c>
      <c r="D280" s="20">
        <v>422100</v>
      </c>
      <c r="E280" s="21">
        <f t="shared" si="20"/>
        <v>459732.37651673512</v>
      </c>
      <c r="G280" s="21">
        <f t="shared" si="21"/>
        <v>37632.376516735123</v>
      </c>
      <c r="H280" s="21">
        <f t="shared" si="22"/>
        <v>1416195762.2973173</v>
      </c>
      <c r="K280" s="21">
        <f t="shared" si="23"/>
        <v>37632.376516735123</v>
      </c>
      <c r="L280" s="22">
        <f t="shared" si="24"/>
        <v>8.9155120864096479E-2</v>
      </c>
    </row>
    <row r="281" spans="1:12" x14ac:dyDescent="0.3">
      <c r="A281" s="19">
        <v>6.2089999999999996</v>
      </c>
      <c r="B281" s="19">
        <v>7.14</v>
      </c>
      <c r="C281" s="20">
        <v>16.600000000000001</v>
      </c>
      <c r="D281" s="20">
        <v>487200</v>
      </c>
      <c r="E281" s="21">
        <f t="shared" si="20"/>
        <v>551917.42151673487</v>
      </c>
      <c r="G281" s="21">
        <f t="shared" si="21"/>
        <v>64717.421516734874</v>
      </c>
      <c r="H281" s="21">
        <f t="shared" si="22"/>
        <v>4188344647.7747378</v>
      </c>
      <c r="K281" s="21">
        <f t="shared" si="23"/>
        <v>64717.421516734874</v>
      </c>
      <c r="L281" s="22">
        <f t="shared" si="24"/>
        <v>0.13283543004255927</v>
      </c>
    </row>
    <row r="282" spans="1:12" x14ac:dyDescent="0.3">
      <c r="A282" s="19">
        <v>6.3150000000000004</v>
      </c>
      <c r="B282" s="19">
        <v>7.6</v>
      </c>
      <c r="C282" s="20">
        <v>16.600000000000001</v>
      </c>
      <c r="D282" s="20">
        <v>468300</v>
      </c>
      <c r="E282" s="21">
        <f t="shared" si="20"/>
        <v>556102.77151673497</v>
      </c>
      <c r="G282" s="21">
        <f t="shared" si="21"/>
        <v>87802.771516734967</v>
      </c>
      <c r="H282" s="21">
        <f t="shared" si="22"/>
        <v>7709326686.0199652</v>
      </c>
      <c r="K282" s="21">
        <f t="shared" si="23"/>
        <v>87802.771516734967</v>
      </c>
      <c r="L282" s="22">
        <f t="shared" si="24"/>
        <v>0.18749257210492198</v>
      </c>
    </row>
    <row r="283" spans="1:12" x14ac:dyDescent="0.3">
      <c r="A283" s="19">
        <v>6.5650000000000004</v>
      </c>
      <c r="B283" s="19">
        <v>9.51</v>
      </c>
      <c r="C283" s="20">
        <v>16.600000000000001</v>
      </c>
      <c r="D283" s="20">
        <v>520800</v>
      </c>
      <c r="E283" s="21">
        <f t="shared" si="20"/>
        <v>557022.43151673512</v>
      </c>
      <c r="G283" s="21">
        <f t="shared" si="21"/>
        <v>36222.431516735116</v>
      </c>
      <c r="H283" s="21">
        <f t="shared" si="22"/>
        <v>1312064544.9845655</v>
      </c>
      <c r="K283" s="21">
        <f t="shared" si="23"/>
        <v>36222.431516735116</v>
      </c>
      <c r="L283" s="22">
        <f t="shared" si="24"/>
        <v>6.955151980939922E-2</v>
      </c>
    </row>
    <row r="284" spans="1:12" x14ac:dyDescent="0.3">
      <c r="A284" s="19">
        <v>6.8609999999999998</v>
      </c>
      <c r="B284" s="19">
        <v>3.33</v>
      </c>
      <c r="C284" s="20">
        <v>19.2</v>
      </c>
      <c r="D284" s="20">
        <v>598500</v>
      </c>
      <c r="E284" s="21">
        <f t="shared" si="20"/>
        <v>599013.29151673499</v>
      </c>
      <c r="G284" s="21">
        <f t="shared" si="21"/>
        <v>513.29151673498563</v>
      </c>
      <c r="H284" s="21">
        <f t="shared" si="22"/>
        <v>263468.18115210201</v>
      </c>
      <c r="K284" s="21">
        <f t="shared" si="23"/>
        <v>513.29151673498563</v>
      </c>
      <c r="L284" s="22">
        <f t="shared" si="24"/>
        <v>8.5762993606513886E-4</v>
      </c>
    </row>
    <row r="285" spans="1:12" x14ac:dyDescent="0.3">
      <c r="A285" s="19">
        <v>7.1479999999999997</v>
      </c>
      <c r="B285" s="19">
        <v>3.56</v>
      </c>
      <c r="C285" s="20">
        <v>19.2</v>
      </c>
      <c r="D285" s="20">
        <v>783300</v>
      </c>
      <c r="E285" s="21">
        <f t="shared" si="20"/>
        <v>621362.17651673523</v>
      </c>
      <c r="G285" s="21">
        <f t="shared" si="21"/>
        <v>-161937.82348326477</v>
      </c>
      <c r="H285" s="21">
        <f t="shared" si="22"/>
        <v>26223858674.497021</v>
      </c>
      <c r="K285" s="21">
        <f t="shared" si="23"/>
        <v>161937.82348326477</v>
      </c>
      <c r="L285" s="22">
        <f t="shared" si="24"/>
        <v>0.20673793372049631</v>
      </c>
    </row>
    <row r="286" spans="1:12" x14ac:dyDescent="0.3">
      <c r="A286" s="19">
        <v>6.63</v>
      </c>
      <c r="B286" s="19">
        <v>4.7</v>
      </c>
      <c r="C286" s="20">
        <v>19.2</v>
      </c>
      <c r="D286" s="20">
        <v>585900</v>
      </c>
      <c r="E286" s="21">
        <f t="shared" si="20"/>
        <v>564153.64651673497</v>
      </c>
      <c r="G286" s="21">
        <f t="shared" si="21"/>
        <v>-21746.353483265033</v>
      </c>
      <c r="H286" s="21">
        <f t="shared" si="22"/>
        <v>472903889.81911325</v>
      </c>
      <c r="K286" s="21">
        <f t="shared" si="23"/>
        <v>21746.353483265033</v>
      </c>
      <c r="L286" s="22">
        <f t="shared" si="24"/>
        <v>3.7116152045169881E-2</v>
      </c>
    </row>
    <row r="287" spans="1:12" x14ac:dyDescent="0.3">
      <c r="A287" s="19">
        <v>6.1269999999999998</v>
      </c>
      <c r="B287" s="19">
        <v>8.58</v>
      </c>
      <c r="C287" s="20">
        <v>16</v>
      </c>
      <c r="D287" s="20">
        <v>501900</v>
      </c>
      <c r="E287" s="21">
        <f t="shared" si="20"/>
        <v>540891.73151673505</v>
      </c>
      <c r="G287" s="21">
        <f t="shared" si="21"/>
        <v>38991.731516735046</v>
      </c>
      <c r="H287" s="21">
        <f t="shared" si="22"/>
        <v>1520355126.6731491</v>
      </c>
      <c r="K287" s="21">
        <f t="shared" si="23"/>
        <v>38991.731516735046</v>
      </c>
      <c r="L287" s="22">
        <f t="shared" si="24"/>
        <v>7.7688247692239587E-2</v>
      </c>
    </row>
    <row r="288" spans="1:12" x14ac:dyDescent="0.3">
      <c r="A288" s="19">
        <v>6.0090000000000003</v>
      </c>
      <c r="B288" s="19">
        <v>10.4</v>
      </c>
      <c r="C288" s="20">
        <v>16</v>
      </c>
      <c r="D288" s="20">
        <v>455700</v>
      </c>
      <c r="E288" s="21">
        <f t="shared" si="20"/>
        <v>510931.88151673507</v>
      </c>
      <c r="G288" s="21">
        <f t="shared" si="21"/>
        <v>55231.881516735069</v>
      </c>
      <c r="H288" s="21">
        <f t="shared" si="22"/>
        <v>3050560735.8786612</v>
      </c>
      <c r="K288" s="21">
        <f t="shared" si="23"/>
        <v>55231.881516735069</v>
      </c>
      <c r="L288" s="22">
        <f t="shared" si="24"/>
        <v>0.12120228553156698</v>
      </c>
    </row>
    <row r="289" spans="1:12" x14ac:dyDescent="0.3">
      <c r="A289" s="19">
        <v>6.6779999999999999</v>
      </c>
      <c r="B289" s="19">
        <v>6.27</v>
      </c>
      <c r="C289" s="20">
        <v>16</v>
      </c>
      <c r="D289" s="20">
        <v>600600</v>
      </c>
      <c r="E289" s="21">
        <f t="shared" si="20"/>
        <v>613650.23651673505</v>
      </c>
      <c r="G289" s="21">
        <f t="shared" si="21"/>
        <v>13050.236516735051</v>
      </c>
      <c r="H289" s="21">
        <f t="shared" si="22"/>
        <v>170308673.14272499</v>
      </c>
      <c r="K289" s="21">
        <f t="shared" si="23"/>
        <v>13050.236516735051</v>
      </c>
      <c r="L289" s="22">
        <f t="shared" si="24"/>
        <v>2.1728665529029387E-2</v>
      </c>
    </row>
    <row r="290" spans="1:12" x14ac:dyDescent="0.3">
      <c r="A290" s="19">
        <v>6.5490000000000004</v>
      </c>
      <c r="B290" s="19">
        <v>7.39</v>
      </c>
      <c r="C290" s="20">
        <v>16</v>
      </c>
      <c r="D290" s="20">
        <v>569100</v>
      </c>
      <c r="E290" s="21">
        <f t="shared" si="20"/>
        <v>590332.47151673504</v>
      </c>
      <c r="G290" s="21">
        <f t="shared" si="21"/>
        <v>21232.471516735037</v>
      </c>
      <c r="H290" s="21">
        <f t="shared" si="22"/>
        <v>450817846.70896465</v>
      </c>
      <c r="K290" s="21">
        <f t="shared" si="23"/>
        <v>21232.471516735037</v>
      </c>
      <c r="L290" s="22">
        <f t="shared" si="24"/>
        <v>3.7308858753707673E-2</v>
      </c>
    </row>
    <row r="291" spans="1:12" x14ac:dyDescent="0.3">
      <c r="A291" s="19">
        <v>5.79</v>
      </c>
      <c r="B291" s="19">
        <v>15.84</v>
      </c>
      <c r="C291" s="20">
        <v>16</v>
      </c>
      <c r="D291" s="20">
        <v>426300</v>
      </c>
      <c r="E291" s="21">
        <f t="shared" si="20"/>
        <v>432955.58651673503</v>
      </c>
      <c r="G291" s="21">
        <f t="shared" si="21"/>
        <v>6655.5865167350275</v>
      </c>
      <c r="H291" s="21">
        <f t="shared" si="22"/>
        <v>44296831.8817451</v>
      </c>
      <c r="K291" s="21">
        <f t="shared" si="23"/>
        <v>6655.5865167350275</v>
      </c>
      <c r="L291" s="22">
        <f t="shared" si="24"/>
        <v>1.5612447845965348E-2</v>
      </c>
    </row>
    <row r="292" spans="1:12" x14ac:dyDescent="0.3">
      <c r="A292" s="19">
        <v>6.3449999999999998</v>
      </c>
      <c r="B292" s="19">
        <v>4.97</v>
      </c>
      <c r="C292" s="20">
        <v>14.8</v>
      </c>
      <c r="D292" s="20">
        <v>472500</v>
      </c>
      <c r="E292" s="21">
        <f t="shared" si="20"/>
        <v>622318.19151673489</v>
      </c>
      <c r="G292" s="21">
        <f t="shared" si="21"/>
        <v>149818.19151673489</v>
      </c>
      <c r="H292" s="21">
        <f t="shared" si="22"/>
        <v>22445490509.345055</v>
      </c>
      <c r="K292" s="21">
        <f t="shared" si="23"/>
        <v>149818.19151673489</v>
      </c>
      <c r="L292" s="22">
        <f t="shared" si="24"/>
        <v>0.31707553760155532</v>
      </c>
    </row>
    <row r="293" spans="1:12" x14ac:dyDescent="0.3">
      <c r="A293" s="19">
        <v>7.0410000000000004</v>
      </c>
      <c r="B293" s="19">
        <v>4.74</v>
      </c>
      <c r="C293" s="20">
        <v>14.8</v>
      </c>
      <c r="D293" s="20">
        <v>609000</v>
      </c>
      <c r="E293" s="21">
        <f t="shared" si="20"/>
        <v>685062.7015167349</v>
      </c>
      <c r="G293" s="21">
        <f t="shared" si="21"/>
        <v>76062.701516734902</v>
      </c>
      <c r="H293" s="21">
        <f t="shared" si="22"/>
        <v>5785534562.0239058</v>
      </c>
      <c r="K293" s="21">
        <f t="shared" si="23"/>
        <v>76062.701516734902</v>
      </c>
      <c r="L293" s="22">
        <f t="shared" si="24"/>
        <v>0.12489770363995879</v>
      </c>
    </row>
    <row r="294" spans="1:12" x14ac:dyDescent="0.3">
      <c r="A294" s="19">
        <v>6.8710000000000004</v>
      </c>
      <c r="B294" s="19">
        <v>6.07</v>
      </c>
      <c r="C294" s="20">
        <v>14.8</v>
      </c>
      <c r="D294" s="20">
        <v>520800</v>
      </c>
      <c r="E294" s="21">
        <f t="shared" si="20"/>
        <v>655917.48151673493</v>
      </c>
      <c r="G294" s="21">
        <f t="shared" si="21"/>
        <v>135117.48151673493</v>
      </c>
      <c r="H294" s="21">
        <f t="shared" si="22"/>
        <v>18256733811.425205</v>
      </c>
      <c r="K294" s="21">
        <f t="shared" si="23"/>
        <v>135117.48151673493</v>
      </c>
      <c r="L294" s="22">
        <f t="shared" si="24"/>
        <v>0.25944216881093496</v>
      </c>
    </row>
    <row r="295" spans="1:12" x14ac:dyDescent="0.3">
      <c r="A295" s="19">
        <v>6.59</v>
      </c>
      <c r="B295" s="19">
        <v>9.5</v>
      </c>
      <c r="C295" s="20">
        <v>16.100000000000001</v>
      </c>
      <c r="D295" s="20">
        <v>462000</v>
      </c>
      <c r="E295" s="21">
        <f t="shared" si="20"/>
        <v>569041.04651673511</v>
      </c>
      <c r="G295" s="21">
        <f t="shared" si="21"/>
        <v>107041.04651673511</v>
      </c>
      <c r="H295" s="21">
        <f t="shared" si="22"/>
        <v>11457785639.397848</v>
      </c>
      <c r="K295" s="21">
        <f t="shared" si="23"/>
        <v>107041.04651673511</v>
      </c>
      <c r="L295" s="22">
        <f t="shared" si="24"/>
        <v>0.23169057687605002</v>
      </c>
    </row>
    <row r="296" spans="1:12" x14ac:dyDescent="0.3">
      <c r="A296" s="19">
        <v>6.4950000000000001</v>
      </c>
      <c r="B296" s="19">
        <v>8.67</v>
      </c>
      <c r="C296" s="20">
        <v>16.100000000000001</v>
      </c>
      <c r="D296" s="20">
        <v>554400</v>
      </c>
      <c r="E296" s="21">
        <f t="shared" si="20"/>
        <v>569822.04151673499</v>
      </c>
      <c r="G296" s="21">
        <f t="shared" si="21"/>
        <v>15422.041516734986</v>
      </c>
      <c r="H296" s="21">
        <f t="shared" si="22"/>
        <v>237839364.54389754</v>
      </c>
      <c r="K296" s="21">
        <f t="shared" si="23"/>
        <v>15422.041516734986</v>
      </c>
      <c r="L296" s="22">
        <f t="shared" si="24"/>
        <v>2.7817535203345935E-2</v>
      </c>
    </row>
    <row r="297" spans="1:12" x14ac:dyDescent="0.3">
      <c r="A297" s="19">
        <v>6.9820000000000002</v>
      </c>
      <c r="B297" s="19">
        <v>4.8600000000000003</v>
      </c>
      <c r="C297" s="20">
        <v>16.100000000000001</v>
      </c>
      <c r="D297" s="20">
        <v>695100</v>
      </c>
      <c r="E297" s="21">
        <f t="shared" si="20"/>
        <v>653313.88651673496</v>
      </c>
      <c r="G297" s="21">
        <f t="shared" si="21"/>
        <v>-41786.113483265042</v>
      </c>
      <c r="H297" s="21">
        <f t="shared" si="22"/>
        <v>1746079280.0363045</v>
      </c>
      <c r="K297" s="21">
        <f t="shared" si="23"/>
        <v>41786.113483265042</v>
      </c>
      <c r="L297" s="22">
        <f t="shared" si="24"/>
        <v>6.0115254615544587E-2</v>
      </c>
    </row>
    <row r="298" spans="1:12" x14ac:dyDescent="0.3">
      <c r="A298" s="19">
        <v>7.2359999999999998</v>
      </c>
      <c r="B298" s="19">
        <v>6.93</v>
      </c>
      <c r="C298" s="20">
        <v>18.399999999999999</v>
      </c>
      <c r="D298" s="20">
        <v>758100</v>
      </c>
      <c r="E298" s="21">
        <f t="shared" si="20"/>
        <v>608012.36651673517</v>
      </c>
      <c r="G298" s="21">
        <f t="shared" si="21"/>
        <v>-150087.63348326483</v>
      </c>
      <c r="H298" s="21">
        <f t="shared" si="22"/>
        <v>22526297724.606838</v>
      </c>
      <c r="K298" s="21">
        <f t="shared" si="23"/>
        <v>150087.63348326483</v>
      </c>
      <c r="L298" s="22">
        <f t="shared" si="24"/>
        <v>0.19797867495484081</v>
      </c>
    </row>
    <row r="299" spans="1:12" x14ac:dyDescent="0.3">
      <c r="A299" s="19">
        <v>6.6159999999999997</v>
      </c>
      <c r="B299" s="19">
        <v>8.93</v>
      </c>
      <c r="C299" s="20">
        <v>18.399999999999999</v>
      </c>
      <c r="D299" s="20">
        <v>596400</v>
      </c>
      <c r="E299" s="21">
        <f t="shared" si="20"/>
        <v>532644.06651673513</v>
      </c>
      <c r="G299" s="21">
        <f t="shared" si="21"/>
        <v>-63755.933483264875</v>
      </c>
      <c r="H299" s="21">
        <f t="shared" si="22"/>
        <v>4064819054.322495</v>
      </c>
      <c r="K299" s="21">
        <f t="shared" si="23"/>
        <v>63755.933483264875</v>
      </c>
      <c r="L299" s="22">
        <f t="shared" si="24"/>
        <v>0.10690129692029657</v>
      </c>
    </row>
    <row r="300" spans="1:12" x14ac:dyDescent="0.3">
      <c r="A300" s="19">
        <v>7.42</v>
      </c>
      <c r="B300" s="19">
        <v>6.47</v>
      </c>
      <c r="C300" s="20">
        <v>18.399999999999999</v>
      </c>
      <c r="D300" s="20">
        <v>701400</v>
      </c>
      <c r="E300" s="21">
        <f t="shared" si="20"/>
        <v>628930.86651673494</v>
      </c>
      <c r="G300" s="21">
        <f t="shared" si="21"/>
        <v>-72469.133483265061</v>
      </c>
      <c r="H300" s="21">
        <f t="shared" si="22"/>
        <v>5251775307.8152895</v>
      </c>
      <c r="K300" s="21">
        <f t="shared" si="23"/>
        <v>72469.133483265061</v>
      </c>
      <c r="L300" s="22">
        <f t="shared" si="24"/>
        <v>0.10332069216319513</v>
      </c>
    </row>
    <row r="301" spans="1:12" x14ac:dyDescent="0.3">
      <c r="A301" s="19">
        <v>6.8490000000000002</v>
      </c>
      <c r="B301" s="19">
        <v>7.53</v>
      </c>
      <c r="C301" s="20">
        <v>18.399999999999999</v>
      </c>
      <c r="D301" s="20">
        <v>592200</v>
      </c>
      <c r="E301" s="21">
        <f t="shared" si="20"/>
        <v>568002.311516735</v>
      </c>
      <c r="G301" s="21">
        <f t="shared" si="21"/>
        <v>-24197.688483264996</v>
      </c>
      <c r="H301" s="21">
        <f t="shared" si="22"/>
        <v>585528127.93313539</v>
      </c>
      <c r="K301" s="21">
        <f t="shared" si="23"/>
        <v>24197.688483264996</v>
      </c>
      <c r="L301" s="22">
        <f t="shared" si="24"/>
        <v>4.0860669509059429E-2</v>
      </c>
    </row>
    <row r="302" spans="1:12" x14ac:dyDescent="0.3">
      <c r="A302" s="19">
        <v>6.6349999999999998</v>
      </c>
      <c r="B302" s="19">
        <v>4.54</v>
      </c>
      <c r="C302" s="20">
        <v>18.399999999999999</v>
      </c>
      <c r="D302" s="20">
        <v>478800</v>
      </c>
      <c r="E302" s="21">
        <f t="shared" si="20"/>
        <v>581915.9115167351</v>
      </c>
      <c r="G302" s="21">
        <f t="shared" si="21"/>
        <v>103115.9115167351</v>
      </c>
      <c r="H302" s="21">
        <f t="shared" si="22"/>
        <v>10632891207.927141</v>
      </c>
      <c r="K302" s="21">
        <f t="shared" si="23"/>
        <v>103115.9115167351</v>
      </c>
      <c r="L302" s="22">
        <f t="shared" si="24"/>
        <v>0.21536322371916269</v>
      </c>
    </row>
    <row r="303" spans="1:12" x14ac:dyDescent="0.3">
      <c r="A303" s="19">
        <v>5.9720000000000004</v>
      </c>
      <c r="B303" s="19">
        <v>9.9700000000000006</v>
      </c>
      <c r="C303" s="20">
        <v>18.399999999999999</v>
      </c>
      <c r="D303" s="20">
        <v>426300</v>
      </c>
      <c r="E303" s="21">
        <f t="shared" si="20"/>
        <v>465613.24651673512</v>
      </c>
      <c r="G303" s="21">
        <f t="shared" si="21"/>
        <v>39313.246516735118</v>
      </c>
      <c r="H303" s="21">
        <f t="shared" si="22"/>
        <v>1545531351.685586</v>
      </c>
      <c r="K303" s="21">
        <f t="shared" si="23"/>
        <v>39313.246516735118</v>
      </c>
      <c r="L303" s="22">
        <f t="shared" si="24"/>
        <v>9.2219672804914651E-2</v>
      </c>
    </row>
    <row r="304" spans="1:12" x14ac:dyDescent="0.3">
      <c r="A304" s="19">
        <v>4.9729999999999999</v>
      </c>
      <c r="B304" s="19">
        <v>12.64</v>
      </c>
      <c r="C304" s="20">
        <v>18.399999999999999</v>
      </c>
      <c r="D304" s="20">
        <v>338100</v>
      </c>
      <c r="E304" s="21">
        <f t="shared" si="20"/>
        <v>350167.9815167351</v>
      </c>
      <c r="G304" s="21">
        <f t="shared" si="21"/>
        <v>12067.981516735104</v>
      </c>
      <c r="H304" s="21">
        <f t="shared" si="22"/>
        <v>145636177.8882601</v>
      </c>
      <c r="K304" s="21">
        <f t="shared" si="23"/>
        <v>12067.981516735104</v>
      </c>
      <c r="L304" s="22">
        <f t="shared" si="24"/>
        <v>3.5693527112496612E-2</v>
      </c>
    </row>
    <row r="305" spans="1:12" x14ac:dyDescent="0.3">
      <c r="A305" s="19">
        <v>6.1219999999999999</v>
      </c>
      <c r="B305" s="19">
        <v>5.98</v>
      </c>
      <c r="C305" s="20">
        <v>18.399999999999999</v>
      </c>
      <c r="D305" s="20">
        <v>464100</v>
      </c>
      <c r="E305" s="21">
        <f t="shared" si="20"/>
        <v>521885.50651673489</v>
      </c>
      <c r="G305" s="21">
        <f t="shared" si="21"/>
        <v>57785.506516734895</v>
      </c>
      <c r="H305" s="21">
        <f t="shared" si="22"/>
        <v>3339164763.3956108</v>
      </c>
      <c r="K305" s="21">
        <f t="shared" si="23"/>
        <v>57785.506516734895</v>
      </c>
      <c r="L305" s="22">
        <f t="shared" si="24"/>
        <v>0.12451089531724821</v>
      </c>
    </row>
    <row r="306" spans="1:12" x14ac:dyDescent="0.3">
      <c r="A306" s="19">
        <v>6.0229999999999997</v>
      </c>
      <c r="B306" s="19">
        <v>11.72</v>
      </c>
      <c r="C306" s="20">
        <v>18.399999999999999</v>
      </c>
      <c r="D306" s="20">
        <v>407400</v>
      </c>
      <c r="E306" s="21">
        <f t="shared" si="20"/>
        <v>451042.31151673506</v>
      </c>
      <c r="G306" s="21">
        <f t="shared" si="21"/>
        <v>43642.311516735062</v>
      </c>
      <c r="H306" s="21">
        <f t="shared" si="22"/>
        <v>1904651354.5237458</v>
      </c>
      <c r="K306" s="21">
        <f t="shared" si="23"/>
        <v>43642.311516735062</v>
      </c>
      <c r="L306" s="22">
        <f t="shared" si="24"/>
        <v>0.10712398506807821</v>
      </c>
    </row>
    <row r="307" spans="1:12" x14ac:dyDescent="0.3">
      <c r="A307" s="19">
        <v>6.266</v>
      </c>
      <c r="B307" s="19">
        <v>7.9</v>
      </c>
      <c r="C307" s="20">
        <v>18.399999999999999</v>
      </c>
      <c r="D307" s="20">
        <v>453600</v>
      </c>
      <c r="E307" s="21">
        <f t="shared" si="20"/>
        <v>513520.78651673504</v>
      </c>
      <c r="G307" s="21">
        <f t="shared" si="21"/>
        <v>59920.786516735039</v>
      </c>
      <c r="H307" s="21">
        <f t="shared" si="22"/>
        <v>3590500656.7841358</v>
      </c>
      <c r="K307" s="21">
        <f t="shared" si="23"/>
        <v>59920.786516735039</v>
      </c>
      <c r="L307" s="22">
        <f t="shared" si="24"/>
        <v>0.13210049937551815</v>
      </c>
    </row>
    <row r="308" spans="1:12" x14ac:dyDescent="0.3">
      <c r="A308" s="19">
        <v>6.5670000000000002</v>
      </c>
      <c r="B308" s="19">
        <v>9.2799999999999994</v>
      </c>
      <c r="C308" s="20">
        <v>18.399999999999999</v>
      </c>
      <c r="D308" s="20">
        <v>499800</v>
      </c>
      <c r="E308" s="21">
        <f t="shared" si="20"/>
        <v>524605.23151673493</v>
      </c>
      <c r="G308" s="21">
        <f t="shared" si="21"/>
        <v>24805.23151673493</v>
      </c>
      <c r="H308" s="21">
        <f t="shared" si="22"/>
        <v>615299510.59881985</v>
      </c>
      <c r="K308" s="21">
        <f t="shared" si="23"/>
        <v>24805.23151673493</v>
      </c>
      <c r="L308" s="22">
        <f t="shared" si="24"/>
        <v>4.9630315159533672E-2</v>
      </c>
    </row>
    <row r="309" spans="1:12" x14ac:dyDescent="0.3">
      <c r="A309" s="19">
        <v>5.7050000000000001</v>
      </c>
      <c r="B309" s="19">
        <v>11.5</v>
      </c>
      <c r="C309" s="20">
        <v>18.399999999999999</v>
      </c>
      <c r="D309" s="20">
        <v>340200</v>
      </c>
      <c r="E309" s="21">
        <f t="shared" si="20"/>
        <v>425901.42151673505</v>
      </c>
      <c r="G309" s="21">
        <f t="shared" si="21"/>
        <v>85701.421516735048</v>
      </c>
      <c r="H309" s="21">
        <f t="shared" si="22"/>
        <v>7344733649.9890976</v>
      </c>
      <c r="K309" s="21">
        <f t="shared" si="23"/>
        <v>85701.421516735048</v>
      </c>
      <c r="L309" s="22">
        <f t="shared" si="24"/>
        <v>0.25191481927317766</v>
      </c>
    </row>
    <row r="310" spans="1:12" x14ac:dyDescent="0.3">
      <c r="A310" s="19">
        <v>5.9139999999999997</v>
      </c>
      <c r="B310" s="19">
        <v>18.329999999999998</v>
      </c>
      <c r="C310" s="20">
        <v>18.399999999999999</v>
      </c>
      <c r="D310" s="20">
        <v>373800</v>
      </c>
      <c r="E310" s="21">
        <f t="shared" si="20"/>
        <v>369894.83651673497</v>
      </c>
      <c r="G310" s="21">
        <f t="shared" si="21"/>
        <v>-3905.1634832650307</v>
      </c>
      <c r="H310" s="21">
        <f t="shared" si="22"/>
        <v>15250301.831026668</v>
      </c>
      <c r="K310" s="21">
        <f t="shared" si="23"/>
        <v>3905.1634832650307</v>
      </c>
      <c r="L310" s="22">
        <f t="shared" si="24"/>
        <v>1.0447200329761987E-2</v>
      </c>
    </row>
    <row r="311" spans="1:12" x14ac:dyDescent="0.3">
      <c r="A311" s="19">
        <v>5.782</v>
      </c>
      <c r="B311" s="19">
        <v>15.94</v>
      </c>
      <c r="C311" s="20">
        <v>18.399999999999999</v>
      </c>
      <c r="D311" s="20">
        <v>415800</v>
      </c>
      <c r="E311" s="21">
        <f t="shared" si="20"/>
        <v>384397.366516735</v>
      </c>
      <c r="G311" s="21">
        <f t="shared" si="21"/>
        <v>-31402.633483265003</v>
      </c>
      <c r="H311" s="21">
        <f t="shared" si="22"/>
        <v>986125389.68427622</v>
      </c>
      <c r="K311" s="21">
        <f t="shared" si="23"/>
        <v>31402.633483265003</v>
      </c>
      <c r="L311" s="22">
        <f t="shared" si="24"/>
        <v>7.5523409050661378E-2</v>
      </c>
    </row>
    <row r="312" spans="1:12" x14ac:dyDescent="0.3">
      <c r="A312" s="19">
        <v>6.3819999999999997</v>
      </c>
      <c r="B312" s="19">
        <v>10.36</v>
      </c>
      <c r="C312" s="20">
        <v>18.399999999999999</v>
      </c>
      <c r="D312" s="20">
        <v>485100</v>
      </c>
      <c r="E312" s="21">
        <f t="shared" si="20"/>
        <v>496873.78651673504</v>
      </c>
      <c r="G312" s="21">
        <f t="shared" si="21"/>
        <v>11773.786516735039</v>
      </c>
      <c r="H312" s="21">
        <f t="shared" si="22"/>
        <v>138622048.94165182</v>
      </c>
      <c r="K312" s="21">
        <f t="shared" si="23"/>
        <v>11773.786516735039</v>
      </c>
      <c r="L312" s="22">
        <f t="shared" si="24"/>
        <v>2.427084419034228E-2</v>
      </c>
    </row>
    <row r="313" spans="1:12" x14ac:dyDescent="0.3">
      <c r="A313" s="19">
        <v>6.1130000000000004</v>
      </c>
      <c r="B313" s="19">
        <v>12.73</v>
      </c>
      <c r="C313" s="20">
        <v>18.399999999999999</v>
      </c>
      <c r="D313" s="20">
        <v>441000</v>
      </c>
      <c r="E313" s="21">
        <f t="shared" si="20"/>
        <v>447875.67151673516</v>
      </c>
      <c r="G313" s="21">
        <f t="shared" si="21"/>
        <v>6875.6715167351649</v>
      </c>
      <c r="H313" s="21">
        <f t="shared" si="22"/>
        <v>47274858.806043245</v>
      </c>
      <c r="K313" s="21">
        <f t="shared" si="23"/>
        <v>6875.6715167351649</v>
      </c>
      <c r="L313" s="22">
        <f t="shared" si="24"/>
        <v>1.5591091874682914E-2</v>
      </c>
    </row>
    <row r="314" spans="1:12" x14ac:dyDescent="0.3">
      <c r="A314" s="19">
        <v>6.4260000000000002</v>
      </c>
      <c r="B314" s="19">
        <v>7.2</v>
      </c>
      <c r="C314" s="20">
        <v>19.600000000000001</v>
      </c>
      <c r="D314" s="20">
        <v>499800</v>
      </c>
      <c r="E314" s="21">
        <f t="shared" si="20"/>
        <v>511575.08651673509</v>
      </c>
      <c r="G314" s="21">
        <f t="shared" si="21"/>
        <v>11775.086516735086</v>
      </c>
      <c r="H314" s="21">
        <f t="shared" si="22"/>
        <v>138652662.47659642</v>
      </c>
      <c r="K314" s="21">
        <f t="shared" si="23"/>
        <v>11775.086516735086</v>
      </c>
      <c r="L314" s="22">
        <f t="shared" si="24"/>
        <v>2.3559596872219059E-2</v>
      </c>
    </row>
    <row r="315" spans="1:12" x14ac:dyDescent="0.3">
      <c r="A315" s="19">
        <v>6.3760000000000003</v>
      </c>
      <c r="B315" s="19">
        <v>6.87</v>
      </c>
      <c r="C315" s="20">
        <v>19.600000000000001</v>
      </c>
      <c r="D315" s="20">
        <v>485100</v>
      </c>
      <c r="E315" s="21">
        <f t="shared" si="20"/>
        <v>510827.00651673513</v>
      </c>
      <c r="G315" s="21">
        <f t="shared" si="21"/>
        <v>25727.006516735128</v>
      </c>
      <c r="H315" s="21">
        <f t="shared" si="22"/>
        <v>661878864.31213176</v>
      </c>
      <c r="K315" s="21">
        <f t="shared" si="23"/>
        <v>25727.006516735128</v>
      </c>
      <c r="L315" s="22">
        <f t="shared" si="24"/>
        <v>5.3034439325366167E-2</v>
      </c>
    </row>
    <row r="316" spans="1:12" x14ac:dyDescent="0.3">
      <c r="A316" s="19">
        <v>6.0410000000000004</v>
      </c>
      <c r="B316" s="19">
        <v>7.7</v>
      </c>
      <c r="C316" s="20">
        <v>19.600000000000001</v>
      </c>
      <c r="D316" s="20">
        <v>428400</v>
      </c>
      <c r="E316" s="21">
        <f t="shared" si="20"/>
        <v>472823.06151673495</v>
      </c>
      <c r="G316" s="21">
        <f t="shared" si="21"/>
        <v>44423.061516734946</v>
      </c>
      <c r="H316" s="21">
        <f t="shared" si="22"/>
        <v>1973408394.5196173</v>
      </c>
      <c r="K316" s="21">
        <f t="shared" si="23"/>
        <v>44423.061516734946</v>
      </c>
      <c r="L316" s="22">
        <f t="shared" si="24"/>
        <v>0.10369528832104329</v>
      </c>
    </row>
    <row r="317" spans="1:12" x14ac:dyDescent="0.3">
      <c r="A317" s="19">
        <v>5.7080000000000002</v>
      </c>
      <c r="B317" s="19">
        <v>11.74</v>
      </c>
      <c r="C317" s="20">
        <v>19.600000000000001</v>
      </c>
      <c r="D317" s="20">
        <v>388500</v>
      </c>
      <c r="E317" s="21">
        <f t="shared" si="20"/>
        <v>400166.95651673496</v>
      </c>
      <c r="G317" s="21">
        <f t="shared" si="21"/>
        <v>11666.956516734965</v>
      </c>
      <c r="H317" s="21">
        <f t="shared" si="22"/>
        <v>136117874.36338446</v>
      </c>
      <c r="K317" s="21">
        <f t="shared" si="23"/>
        <v>11666.956516734965</v>
      </c>
      <c r="L317" s="22">
        <f t="shared" si="24"/>
        <v>3.0030776104851904E-2</v>
      </c>
    </row>
    <row r="318" spans="1:12" x14ac:dyDescent="0.3">
      <c r="A318" s="19">
        <v>6.415</v>
      </c>
      <c r="B318" s="19">
        <v>6.12</v>
      </c>
      <c r="C318" s="20">
        <v>19.600000000000001</v>
      </c>
      <c r="D318" s="20">
        <v>525000</v>
      </c>
      <c r="E318" s="21">
        <f t="shared" si="20"/>
        <v>522339.79151673504</v>
      </c>
      <c r="G318" s="21">
        <f t="shared" si="21"/>
        <v>-2660.2084832649562</v>
      </c>
      <c r="H318" s="21">
        <f t="shared" si="22"/>
        <v>7076709.1744348388</v>
      </c>
      <c r="K318" s="21">
        <f t="shared" si="23"/>
        <v>2660.2084832649562</v>
      </c>
      <c r="L318" s="22">
        <f t="shared" si="24"/>
        <v>5.0670637776475359E-3</v>
      </c>
    </row>
    <row r="319" spans="1:12" x14ac:dyDescent="0.3">
      <c r="A319" s="19">
        <v>6.431</v>
      </c>
      <c r="B319" s="19">
        <v>5.08</v>
      </c>
      <c r="C319" s="20">
        <v>19.600000000000001</v>
      </c>
      <c r="D319" s="20">
        <v>516600</v>
      </c>
      <c r="E319" s="21">
        <f t="shared" si="20"/>
        <v>535007.79151673499</v>
      </c>
      <c r="G319" s="21">
        <f t="shared" si="21"/>
        <v>18407.791516734986</v>
      </c>
      <c r="H319" s="21">
        <f t="shared" si="22"/>
        <v>338846788.52358049</v>
      </c>
      <c r="K319" s="21">
        <f t="shared" si="23"/>
        <v>18407.791516734986</v>
      </c>
      <c r="L319" s="22">
        <f t="shared" si="24"/>
        <v>3.5632581333207486E-2</v>
      </c>
    </row>
    <row r="320" spans="1:12" x14ac:dyDescent="0.3">
      <c r="A320" s="19">
        <v>6.3120000000000003</v>
      </c>
      <c r="B320" s="19">
        <v>6.15</v>
      </c>
      <c r="C320" s="20">
        <v>19.600000000000001</v>
      </c>
      <c r="D320" s="20">
        <v>483000</v>
      </c>
      <c r="E320" s="21">
        <f t="shared" si="20"/>
        <v>513098.12651673501</v>
      </c>
      <c r="G320" s="21">
        <f t="shared" si="21"/>
        <v>30098.126516735007</v>
      </c>
      <c r="H320" s="21">
        <f t="shared" si="22"/>
        <v>905897219.81738698</v>
      </c>
      <c r="K320" s="21">
        <f t="shared" si="23"/>
        <v>30098.126516735007</v>
      </c>
      <c r="L320" s="22">
        <f t="shared" si="24"/>
        <v>6.2314961732370611E-2</v>
      </c>
    </row>
    <row r="321" spans="1:12" x14ac:dyDescent="0.3">
      <c r="A321" s="19">
        <v>6.0830000000000002</v>
      </c>
      <c r="B321" s="19">
        <v>12.79</v>
      </c>
      <c r="C321" s="20">
        <v>19.600000000000001</v>
      </c>
      <c r="D321" s="20">
        <v>466200</v>
      </c>
      <c r="E321" s="21">
        <f t="shared" si="20"/>
        <v>421237.38151673501</v>
      </c>
      <c r="G321" s="21">
        <f t="shared" si="21"/>
        <v>-44962.618483264989</v>
      </c>
      <c r="H321" s="21">
        <f t="shared" si="22"/>
        <v>2021637060.8716424</v>
      </c>
      <c r="K321" s="21">
        <f t="shared" si="23"/>
        <v>44962.618483264989</v>
      </c>
      <c r="L321" s="22">
        <f t="shared" si="24"/>
        <v>9.6444913091516496E-2</v>
      </c>
    </row>
    <row r="322" spans="1:12" x14ac:dyDescent="0.3">
      <c r="A322" s="19">
        <v>5.8680000000000003</v>
      </c>
      <c r="B322" s="19">
        <v>9.9700000000000006</v>
      </c>
      <c r="C322" s="20">
        <v>16.899999999999999</v>
      </c>
      <c r="D322" s="20">
        <v>405300</v>
      </c>
      <c r="E322" s="21">
        <f t="shared" si="20"/>
        <v>485848.48651673511</v>
      </c>
      <c r="G322" s="21">
        <f t="shared" si="21"/>
        <v>80548.486516735109</v>
      </c>
      <c r="H322" s="21">
        <f t="shared" si="22"/>
        <v>6488058680.1366577</v>
      </c>
      <c r="K322" s="21">
        <f t="shared" si="23"/>
        <v>80548.486516735109</v>
      </c>
      <c r="L322" s="22">
        <f t="shared" si="24"/>
        <v>0.19873793860531733</v>
      </c>
    </row>
    <row r="323" spans="1:12" x14ac:dyDescent="0.3">
      <c r="A323" s="19">
        <v>6.3330000000000002</v>
      </c>
      <c r="B323" s="19">
        <v>7.34</v>
      </c>
      <c r="C323" s="20">
        <v>16.899999999999999</v>
      </c>
      <c r="D323" s="20">
        <v>474600</v>
      </c>
      <c r="E323" s="21">
        <f t="shared" si="20"/>
        <v>554634.08151673502</v>
      </c>
      <c r="G323" s="21">
        <f t="shared" si="21"/>
        <v>80034.081516735023</v>
      </c>
      <c r="H323" s="21">
        <f t="shared" si="22"/>
        <v>6405454204.2273865</v>
      </c>
      <c r="K323" s="21">
        <f t="shared" si="23"/>
        <v>80034.081516735023</v>
      </c>
      <c r="L323" s="22">
        <f t="shared" si="24"/>
        <v>0.1686348114554046</v>
      </c>
    </row>
    <row r="324" spans="1:12" x14ac:dyDescent="0.3">
      <c r="A324" s="19">
        <v>6.1440000000000001</v>
      </c>
      <c r="B324" s="19">
        <v>9.09</v>
      </c>
      <c r="C324" s="20">
        <v>16.899999999999999</v>
      </c>
      <c r="D324" s="20">
        <v>415800</v>
      </c>
      <c r="E324" s="21">
        <f t="shared" si="20"/>
        <v>519287.54651673505</v>
      </c>
      <c r="G324" s="21">
        <f t="shared" si="21"/>
        <v>103487.54651673505</v>
      </c>
      <c r="H324" s="21">
        <f t="shared" si="22"/>
        <v>10709672284.0534</v>
      </c>
      <c r="K324" s="21">
        <f t="shared" si="23"/>
        <v>103487.54651673505</v>
      </c>
      <c r="L324" s="22">
        <f t="shared" si="24"/>
        <v>0.24888779826054605</v>
      </c>
    </row>
    <row r="325" spans="1:12" x14ac:dyDescent="0.3">
      <c r="A325" s="19">
        <v>5.7060000000000004</v>
      </c>
      <c r="B325" s="19">
        <v>12.43</v>
      </c>
      <c r="C325" s="20">
        <v>16.899999999999999</v>
      </c>
      <c r="D325" s="20">
        <v>359100</v>
      </c>
      <c r="E325" s="21">
        <f t="shared" si="20"/>
        <v>445136.41651673504</v>
      </c>
      <c r="G325" s="21">
        <f t="shared" si="21"/>
        <v>86036.416516735044</v>
      </c>
      <c r="H325" s="21">
        <f t="shared" si="22"/>
        <v>7402264967.0411186</v>
      </c>
      <c r="K325" s="21">
        <f t="shared" si="23"/>
        <v>86036.416516735044</v>
      </c>
      <c r="L325" s="22">
        <f t="shared" si="24"/>
        <v>0.23958901842588429</v>
      </c>
    </row>
    <row r="326" spans="1:12" x14ac:dyDescent="0.3">
      <c r="A326" s="19">
        <v>6.0309999999999997</v>
      </c>
      <c r="B326" s="19">
        <v>7.83</v>
      </c>
      <c r="C326" s="20">
        <v>16.899999999999999</v>
      </c>
      <c r="D326" s="20">
        <v>407400</v>
      </c>
      <c r="E326" s="21">
        <f t="shared" ref="E326:E389" si="25">415464.396516735+86565*(A326)-10849*(B326)-19492*(C326)</f>
        <v>523175.44151673495</v>
      </c>
      <c r="G326" s="21">
        <f t="shared" ref="G326:G389" si="26">E326-D326</f>
        <v>115775.44151673495</v>
      </c>
      <c r="H326" s="21">
        <f t="shared" ref="H326:H389" si="27">G326^2</f>
        <v>13403952858.394915</v>
      </c>
      <c r="K326" s="21">
        <f t="shared" ref="K326:K389" si="28">ABS(G326)</f>
        <v>115775.44151673495</v>
      </c>
      <c r="L326" s="22">
        <f t="shared" ref="L326:L389" si="29">ABS(G326/D326)</f>
        <v>0.28418125065472494</v>
      </c>
    </row>
    <row r="327" spans="1:12" x14ac:dyDescent="0.3">
      <c r="A327" s="19">
        <v>6.3159999999999998</v>
      </c>
      <c r="B327" s="19">
        <v>5.68</v>
      </c>
      <c r="C327" s="20">
        <v>20.2</v>
      </c>
      <c r="D327" s="20">
        <v>466200</v>
      </c>
      <c r="E327" s="21">
        <f t="shared" si="25"/>
        <v>506848.21651673509</v>
      </c>
      <c r="G327" s="21">
        <f t="shared" si="26"/>
        <v>40648.21651673509</v>
      </c>
      <c r="H327" s="21">
        <f t="shared" si="27"/>
        <v>1652277505.9913754</v>
      </c>
      <c r="K327" s="21">
        <f t="shared" si="28"/>
        <v>40648.21651673509</v>
      </c>
      <c r="L327" s="22">
        <f t="shared" si="29"/>
        <v>8.7190511618908381E-2</v>
      </c>
    </row>
    <row r="328" spans="1:12" x14ac:dyDescent="0.3">
      <c r="A328" s="19">
        <v>6.31</v>
      </c>
      <c r="B328" s="19">
        <v>6.75</v>
      </c>
      <c r="C328" s="20">
        <v>20.2</v>
      </c>
      <c r="D328" s="20">
        <v>434700</v>
      </c>
      <c r="E328" s="21">
        <f t="shared" si="25"/>
        <v>494720.39651673514</v>
      </c>
      <c r="G328" s="21">
        <f t="shared" si="26"/>
        <v>60020.396516735142</v>
      </c>
      <c r="H328" s="21">
        <f t="shared" si="27"/>
        <v>3602447998.0261121</v>
      </c>
      <c r="K328" s="21">
        <f t="shared" si="28"/>
        <v>60020.396516735142</v>
      </c>
      <c r="L328" s="22">
        <f t="shared" si="29"/>
        <v>0.1380731458862092</v>
      </c>
    </row>
    <row r="329" spans="1:12" x14ac:dyDescent="0.3">
      <c r="A329" s="19">
        <v>6.0369999999999999</v>
      </c>
      <c r="B329" s="19">
        <v>8.01</v>
      </c>
      <c r="C329" s="20">
        <v>20.2</v>
      </c>
      <c r="D329" s="20">
        <v>443100</v>
      </c>
      <c r="E329" s="21">
        <f t="shared" si="25"/>
        <v>457418.41151673504</v>
      </c>
      <c r="G329" s="21">
        <f t="shared" si="26"/>
        <v>14318.411516735039</v>
      </c>
      <c r="H329" s="21">
        <f t="shared" si="27"/>
        <v>205016908.36257061</v>
      </c>
      <c r="K329" s="21">
        <f t="shared" si="28"/>
        <v>14318.411516735039</v>
      </c>
      <c r="L329" s="22">
        <f t="shared" si="29"/>
        <v>3.2314176295949085E-2</v>
      </c>
    </row>
    <row r="330" spans="1:12" x14ac:dyDescent="0.3">
      <c r="A330" s="19">
        <v>5.8689999999999998</v>
      </c>
      <c r="B330" s="19">
        <v>9.8000000000000007</v>
      </c>
      <c r="C330" s="20">
        <v>20.2</v>
      </c>
      <c r="D330" s="20">
        <v>409500</v>
      </c>
      <c r="E330" s="21">
        <f t="shared" si="25"/>
        <v>423455.78151673515</v>
      </c>
      <c r="G330" s="21">
        <f t="shared" si="26"/>
        <v>13955.781516735151</v>
      </c>
      <c r="H330" s="21">
        <f t="shared" si="27"/>
        <v>194763837.74284646</v>
      </c>
      <c r="K330" s="21">
        <f t="shared" si="28"/>
        <v>13955.781516735151</v>
      </c>
      <c r="L330" s="22">
        <f t="shared" si="29"/>
        <v>3.4080052543919784E-2</v>
      </c>
    </row>
    <row r="331" spans="1:12" x14ac:dyDescent="0.3">
      <c r="A331" s="19">
        <v>5.8949999999999996</v>
      </c>
      <c r="B331" s="19">
        <v>10.56</v>
      </c>
      <c r="C331" s="20">
        <v>20.2</v>
      </c>
      <c r="D331" s="20">
        <v>388500</v>
      </c>
      <c r="E331" s="21">
        <f t="shared" si="25"/>
        <v>417461.2315167351</v>
      </c>
      <c r="G331" s="21">
        <f t="shared" si="26"/>
        <v>28961.231516735104</v>
      </c>
      <c r="H331" s="21">
        <f t="shared" si="27"/>
        <v>838752930.9659307</v>
      </c>
      <c r="K331" s="21">
        <f t="shared" si="28"/>
        <v>28961.231516735104</v>
      </c>
      <c r="L331" s="22">
        <f t="shared" si="29"/>
        <v>7.454628447036063E-2</v>
      </c>
    </row>
    <row r="332" spans="1:12" x14ac:dyDescent="0.3">
      <c r="A332" s="19">
        <v>6.0590000000000002</v>
      </c>
      <c r="B332" s="19">
        <v>8.51</v>
      </c>
      <c r="C332" s="20">
        <v>20.2</v>
      </c>
      <c r="D332" s="20">
        <v>432600</v>
      </c>
      <c r="E332" s="21">
        <f t="shared" si="25"/>
        <v>453898.34151673497</v>
      </c>
      <c r="G332" s="21">
        <f t="shared" si="26"/>
        <v>21298.341516734974</v>
      </c>
      <c r="H332" s="21">
        <f t="shared" si="27"/>
        <v>453619351.36347663</v>
      </c>
      <c r="K332" s="21">
        <f t="shared" si="28"/>
        <v>21298.341516734974</v>
      </c>
      <c r="L332" s="22">
        <f t="shared" si="29"/>
        <v>4.9233336839424352E-2</v>
      </c>
    </row>
    <row r="333" spans="1:12" x14ac:dyDescent="0.3">
      <c r="A333" s="19">
        <v>5.9850000000000003</v>
      </c>
      <c r="B333" s="19">
        <v>9.74</v>
      </c>
      <c r="C333" s="20">
        <v>20.2</v>
      </c>
      <c r="D333" s="20">
        <v>399000</v>
      </c>
      <c r="E333" s="21">
        <f t="shared" si="25"/>
        <v>434148.26151673513</v>
      </c>
      <c r="G333" s="21">
        <f t="shared" si="26"/>
        <v>35148.261516735132</v>
      </c>
      <c r="H333" s="21">
        <f t="shared" si="27"/>
        <v>1235400287.6488039</v>
      </c>
      <c r="K333" s="21">
        <f t="shared" si="28"/>
        <v>35148.261516735132</v>
      </c>
      <c r="L333" s="22">
        <f t="shared" si="29"/>
        <v>8.8090880994323634E-2</v>
      </c>
    </row>
    <row r="334" spans="1:12" x14ac:dyDescent="0.3">
      <c r="A334" s="19">
        <v>5.968</v>
      </c>
      <c r="B334" s="19">
        <v>9.2899999999999991</v>
      </c>
      <c r="C334" s="20">
        <v>20.2</v>
      </c>
      <c r="D334" s="20">
        <v>392700</v>
      </c>
      <c r="E334" s="21">
        <f t="shared" si="25"/>
        <v>437558.70651673508</v>
      </c>
      <c r="G334" s="21">
        <f t="shared" si="26"/>
        <v>44858.706516735081</v>
      </c>
      <c r="H334" s="21">
        <f t="shared" si="27"/>
        <v>2012303550.3545704</v>
      </c>
      <c r="K334" s="21">
        <f t="shared" si="28"/>
        <v>44858.706516735081</v>
      </c>
      <c r="L334" s="22">
        <f t="shared" si="29"/>
        <v>0.11423149100263581</v>
      </c>
    </row>
    <row r="335" spans="1:12" x14ac:dyDescent="0.3">
      <c r="A335" s="19">
        <v>7.2409999999999997</v>
      </c>
      <c r="B335" s="19">
        <v>5.49</v>
      </c>
      <c r="C335" s="20">
        <v>15.5</v>
      </c>
      <c r="D335" s="20">
        <v>686700</v>
      </c>
      <c r="E335" s="21">
        <f t="shared" si="25"/>
        <v>680594.55151673499</v>
      </c>
      <c r="G335" s="21">
        <f t="shared" si="26"/>
        <v>-6105.4484832650051</v>
      </c>
      <c r="H335" s="21">
        <f t="shared" si="27"/>
        <v>37276501.181802951</v>
      </c>
      <c r="K335" s="21">
        <f t="shared" si="28"/>
        <v>6105.4484832650051</v>
      </c>
      <c r="L335" s="22">
        <f t="shared" si="29"/>
        <v>8.8909982281418446E-3</v>
      </c>
    </row>
    <row r="336" spans="1:12" x14ac:dyDescent="0.3">
      <c r="A336" s="19">
        <v>6.54</v>
      </c>
      <c r="B336" s="19">
        <v>8.65</v>
      </c>
      <c r="C336" s="20">
        <v>15.9</v>
      </c>
      <c r="D336" s="20">
        <v>346500</v>
      </c>
      <c r="E336" s="21">
        <f t="shared" si="25"/>
        <v>577832.84651673515</v>
      </c>
      <c r="G336" s="21">
        <f t="shared" si="26"/>
        <v>231332.84651673515</v>
      </c>
      <c r="H336" s="21">
        <f t="shared" si="27"/>
        <v>53514885877.535347</v>
      </c>
      <c r="K336" s="21">
        <f t="shared" si="28"/>
        <v>231332.84651673515</v>
      </c>
      <c r="L336" s="22">
        <f t="shared" si="29"/>
        <v>0.6676272626745603</v>
      </c>
    </row>
    <row r="337" spans="1:12" x14ac:dyDescent="0.3">
      <c r="A337" s="19">
        <v>6.6959999999999997</v>
      </c>
      <c r="B337" s="19">
        <v>7.18</v>
      </c>
      <c r="C337" s="20">
        <v>17.600000000000001</v>
      </c>
      <c r="D337" s="20">
        <v>501900</v>
      </c>
      <c r="E337" s="21">
        <f t="shared" si="25"/>
        <v>574148.61651673494</v>
      </c>
      <c r="G337" s="21">
        <f t="shared" si="26"/>
        <v>72248.616516734939</v>
      </c>
      <c r="H337" s="21">
        <f t="shared" si="27"/>
        <v>5219862588.5822248</v>
      </c>
      <c r="K337" s="21">
        <f t="shared" si="28"/>
        <v>72248.616516734939</v>
      </c>
      <c r="L337" s="22">
        <f t="shared" si="29"/>
        <v>0.1439502221891511</v>
      </c>
    </row>
    <row r="338" spans="1:12" x14ac:dyDescent="0.3">
      <c r="A338" s="19">
        <v>6.8739999999999997</v>
      </c>
      <c r="B338" s="19">
        <v>4.6100000000000003</v>
      </c>
      <c r="C338" s="20">
        <v>17.600000000000001</v>
      </c>
      <c r="D338" s="20">
        <v>655200</v>
      </c>
      <c r="E338" s="21">
        <f t="shared" si="25"/>
        <v>617439.11651673494</v>
      </c>
      <c r="G338" s="21">
        <f t="shared" si="26"/>
        <v>-37760.883483265061</v>
      </c>
      <c r="H338" s="21">
        <f t="shared" si="27"/>
        <v>1425884321.4367201</v>
      </c>
      <c r="K338" s="21">
        <f t="shared" si="28"/>
        <v>37760.883483265061</v>
      </c>
      <c r="L338" s="22">
        <f t="shared" si="29"/>
        <v>5.7632606048939349E-2</v>
      </c>
    </row>
    <row r="339" spans="1:12" x14ac:dyDescent="0.3">
      <c r="A339" s="19">
        <v>6.0140000000000002</v>
      </c>
      <c r="B339" s="19">
        <v>10.53</v>
      </c>
      <c r="C339" s="20">
        <v>18.8</v>
      </c>
      <c r="D339" s="20">
        <v>367500</v>
      </c>
      <c r="E339" s="21">
        <f t="shared" si="25"/>
        <v>455376.73651673511</v>
      </c>
      <c r="G339" s="21">
        <f t="shared" si="26"/>
        <v>87876.736516735109</v>
      </c>
      <c r="H339" s="21">
        <f t="shared" si="27"/>
        <v>7722320820.831686</v>
      </c>
      <c r="K339" s="21">
        <f t="shared" si="28"/>
        <v>87876.736516735109</v>
      </c>
      <c r="L339" s="22">
        <f t="shared" si="29"/>
        <v>0.23912037147410914</v>
      </c>
    </row>
    <row r="340" spans="1:12" x14ac:dyDescent="0.3">
      <c r="A340" s="19">
        <v>5.8979999999999997</v>
      </c>
      <c r="B340" s="19">
        <v>12.67</v>
      </c>
      <c r="C340" s="20">
        <v>18.8</v>
      </c>
      <c r="D340" s="20">
        <v>361200</v>
      </c>
      <c r="E340" s="21">
        <f t="shared" si="25"/>
        <v>422118.33651673509</v>
      </c>
      <c r="G340" s="21">
        <f t="shared" si="26"/>
        <v>60918.336516735086</v>
      </c>
      <c r="H340" s="21">
        <f t="shared" si="27"/>
        <v>3711043723.9661794</v>
      </c>
      <c r="K340" s="21">
        <f t="shared" si="28"/>
        <v>60918.336516735086</v>
      </c>
      <c r="L340" s="22">
        <f t="shared" si="29"/>
        <v>0.16865541671299858</v>
      </c>
    </row>
    <row r="341" spans="1:12" x14ac:dyDescent="0.3">
      <c r="A341" s="19">
        <v>6.516</v>
      </c>
      <c r="B341" s="19">
        <v>6.36</v>
      </c>
      <c r="C341" s="20">
        <v>17.899999999999999</v>
      </c>
      <c r="D341" s="20">
        <v>485100</v>
      </c>
      <c r="E341" s="21">
        <f t="shared" si="25"/>
        <v>561615.49651673506</v>
      </c>
      <c r="G341" s="21">
        <f t="shared" si="26"/>
        <v>76515.49651673506</v>
      </c>
      <c r="H341" s="21">
        <f t="shared" si="27"/>
        <v>5854621207.2024956</v>
      </c>
      <c r="K341" s="21">
        <f t="shared" si="28"/>
        <v>76515.49651673506</v>
      </c>
      <c r="L341" s="22">
        <f t="shared" si="29"/>
        <v>0.15773138840802939</v>
      </c>
    </row>
    <row r="342" spans="1:12" x14ac:dyDescent="0.3">
      <c r="A342" s="19">
        <v>6.6349999999999998</v>
      </c>
      <c r="B342" s="19">
        <v>5.99</v>
      </c>
      <c r="C342" s="20">
        <v>17</v>
      </c>
      <c r="D342" s="20">
        <v>514500</v>
      </c>
      <c r="E342" s="21">
        <f t="shared" si="25"/>
        <v>593473.6615167351</v>
      </c>
      <c r="G342" s="21">
        <f t="shared" si="26"/>
        <v>78973.661516735097</v>
      </c>
      <c r="H342" s="21">
        <f t="shared" si="27"/>
        <v>6236839213.3598461</v>
      </c>
      <c r="K342" s="21">
        <f t="shared" si="28"/>
        <v>78973.661516735097</v>
      </c>
      <c r="L342" s="22">
        <f t="shared" si="29"/>
        <v>0.15349594075167172</v>
      </c>
    </row>
    <row r="343" spans="1:12" x14ac:dyDescent="0.3">
      <c r="A343" s="19">
        <v>6.9390000000000001</v>
      </c>
      <c r="B343" s="19">
        <v>5.89</v>
      </c>
      <c r="C343" s="20">
        <v>19.7</v>
      </c>
      <c r="D343" s="20">
        <v>558600</v>
      </c>
      <c r="E343" s="21">
        <f t="shared" si="25"/>
        <v>568245.92151673511</v>
      </c>
      <c r="G343" s="21">
        <f t="shared" si="26"/>
        <v>9645.9215167351067</v>
      </c>
      <c r="H343" s="21">
        <f t="shared" si="27"/>
        <v>93043801.907013297</v>
      </c>
      <c r="K343" s="21">
        <f t="shared" si="28"/>
        <v>9645.9215167351067</v>
      </c>
      <c r="L343" s="22">
        <f t="shared" si="29"/>
        <v>1.7268029926128012E-2</v>
      </c>
    </row>
    <row r="344" spans="1:12" x14ac:dyDescent="0.3">
      <c r="A344" s="19">
        <v>6.49</v>
      </c>
      <c r="B344" s="19">
        <v>5.98</v>
      </c>
      <c r="C344" s="20">
        <v>19.7</v>
      </c>
      <c r="D344" s="20">
        <v>480900</v>
      </c>
      <c r="E344" s="21">
        <f t="shared" si="25"/>
        <v>528401.82651673513</v>
      </c>
      <c r="G344" s="21">
        <f t="shared" si="26"/>
        <v>47501.826516735135</v>
      </c>
      <c r="H344" s="21">
        <f t="shared" si="27"/>
        <v>2256423522.4260011</v>
      </c>
      <c r="K344" s="21">
        <f t="shared" si="28"/>
        <v>47501.826516735135</v>
      </c>
      <c r="L344" s="22">
        <f t="shared" si="29"/>
        <v>9.8776931829351503E-2</v>
      </c>
    </row>
    <row r="345" spans="1:12" x14ac:dyDescent="0.3">
      <c r="A345" s="19">
        <v>6.5789999999999997</v>
      </c>
      <c r="B345" s="19">
        <v>5.49</v>
      </c>
      <c r="C345" s="20">
        <v>18.3</v>
      </c>
      <c r="D345" s="20">
        <v>506100</v>
      </c>
      <c r="E345" s="21">
        <f t="shared" si="25"/>
        <v>568710.92151673487</v>
      </c>
      <c r="G345" s="21">
        <f t="shared" si="26"/>
        <v>62610.921516734874</v>
      </c>
      <c r="H345" s="21">
        <f t="shared" si="27"/>
        <v>3920127493.1747341</v>
      </c>
      <c r="K345" s="21">
        <f t="shared" si="28"/>
        <v>62610.921516734874</v>
      </c>
      <c r="L345" s="22">
        <f t="shared" si="29"/>
        <v>0.12371254992439217</v>
      </c>
    </row>
    <row r="346" spans="1:12" x14ac:dyDescent="0.3">
      <c r="A346" s="19">
        <v>5.8840000000000003</v>
      </c>
      <c r="B346" s="19">
        <v>7.79</v>
      </c>
      <c r="C346" s="20">
        <v>18.3</v>
      </c>
      <c r="D346" s="20">
        <v>390600</v>
      </c>
      <c r="E346" s="21">
        <f t="shared" si="25"/>
        <v>483595.54651673505</v>
      </c>
      <c r="G346" s="21">
        <f t="shared" si="26"/>
        <v>92995.546516735048</v>
      </c>
      <c r="H346" s="21">
        <f t="shared" si="27"/>
        <v>8648171671.9462318</v>
      </c>
      <c r="K346" s="21">
        <f t="shared" si="28"/>
        <v>92995.546516735048</v>
      </c>
      <c r="L346" s="22">
        <f t="shared" si="29"/>
        <v>0.23808383644837441</v>
      </c>
    </row>
    <row r="347" spans="1:12" x14ac:dyDescent="0.3">
      <c r="A347" s="19">
        <v>6.7279999999999998</v>
      </c>
      <c r="B347" s="19">
        <v>4.5</v>
      </c>
      <c r="C347" s="20">
        <v>17</v>
      </c>
      <c r="D347" s="20">
        <v>632100</v>
      </c>
      <c r="E347" s="21">
        <f t="shared" si="25"/>
        <v>617689.21651673503</v>
      </c>
      <c r="G347" s="21">
        <f t="shared" si="26"/>
        <v>-14410.783483264968</v>
      </c>
      <c r="H347" s="21">
        <f t="shared" si="27"/>
        <v>207670680.60154241</v>
      </c>
      <c r="K347" s="21">
        <f t="shared" si="28"/>
        <v>14410.783483264968</v>
      </c>
      <c r="L347" s="22">
        <f t="shared" si="29"/>
        <v>2.2798265279647158E-2</v>
      </c>
    </row>
    <row r="348" spans="1:12" x14ac:dyDescent="0.3">
      <c r="A348" s="19">
        <v>5.6630000000000003</v>
      </c>
      <c r="B348" s="19">
        <v>8.0500000000000007</v>
      </c>
      <c r="C348" s="20">
        <v>22</v>
      </c>
      <c r="D348" s="20">
        <v>382200</v>
      </c>
      <c r="E348" s="21">
        <f t="shared" si="25"/>
        <v>389523.54151673499</v>
      </c>
      <c r="G348" s="21">
        <f t="shared" si="26"/>
        <v>7323.5415167349856</v>
      </c>
      <c r="H348" s="21">
        <f t="shared" si="27"/>
        <v>53634260.347340971</v>
      </c>
      <c r="K348" s="21">
        <f t="shared" si="28"/>
        <v>7323.5415167349856</v>
      </c>
      <c r="L348" s="22">
        <f t="shared" si="29"/>
        <v>1.916154242997118E-2</v>
      </c>
    </row>
    <row r="349" spans="1:12" x14ac:dyDescent="0.3">
      <c r="A349" s="19">
        <v>5.9359999999999999</v>
      </c>
      <c r="B349" s="19">
        <v>5.57</v>
      </c>
      <c r="C349" s="20">
        <v>22</v>
      </c>
      <c r="D349" s="20">
        <v>432600</v>
      </c>
      <c r="E349" s="21">
        <f t="shared" si="25"/>
        <v>440061.306516735</v>
      </c>
      <c r="G349" s="21">
        <f t="shared" si="26"/>
        <v>7461.3065167349996</v>
      </c>
      <c r="H349" s="21">
        <f t="shared" si="27"/>
        <v>55671094.936672173</v>
      </c>
      <c r="K349" s="21">
        <f t="shared" si="28"/>
        <v>7461.3065167349996</v>
      </c>
      <c r="L349" s="22">
        <f t="shared" si="29"/>
        <v>1.7247587879646323E-2</v>
      </c>
    </row>
    <row r="350" spans="1:12" x14ac:dyDescent="0.3">
      <c r="A350" s="19">
        <v>6.2119999999999997</v>
      </c>
      <c r="B350" s="19">
        <v>17.600000000000001</v>
      </c>
      <c r="C350" s="20">
        <v>20.2</v>
      </c>
      <c r="D350" s="20">
        <v>373800</v>
      </c>
      <c r="E350" s="21">
        <f t="shared" si="25"/>
        <v>368525.37651673501</v>
      </c>
      <c r="G350" s="21">
        <f t="shared" si="26"/>
        <v>-5274.6234832649934</v>
      </c>
      <c r="H350" s="21">
        <f t="shared" si="27"/>
        <v>27821652.890210532</v>
      </c>
      <c r="K350" s="21">
        <f t="shared" si="28"/>
        <v>5274.6234832649934</v>
      </c>
      <c r="L350" s="22">
        <f t="shared" si="29"/>
        <v>1.4110817237199019E-2</v>
      </c>
    </row>
    <row r="351" spans="1:12" x14ac:dyDescent="0.3">
      <c r="A351" s="19">
        <v>6.3949999999999996</v>
      </c>
      <c r="B351" s="19">
        <v>13.27</v>
      </c>
      <c r="C351" s="20">
        <v>20.2</v>
      </c>
      <c r="D351" s="20">
        <v>455700</v>
      </c>
      <c r="E351" s="21">
        <f t="shared" si="25"/>
        <v>431342.94151673507</v>
      </c>
      <c r="G351" s="21">
        <f t="shared" si="26"/>
        <v>-24357.058483264933</v>
      </c>
      <c r="H351" s="21">
        <f t="shared" si="27"/>
        <v>593266297.95718825</v>
      </c>
      <c r="K351" s="21">
        <f t="shared" si="28"/>
        <v>24357.058483264933</v>
      </c>
      <c r="L351" s="22">
        <f t="shared" si="29"/>
        <v>5.3449766256890352E-2</v>
      </c>
    </row>
    <row r="352" spans="1:12" x14ac:dyDescent="0.3">
      <c r="A352" s="19">
        <v>6.1269999999999998</v>
      </c>
      <c r="B352" s="19">
        <v>11.48</v>
      </c>
      <c r="C352" s="20">
        <v>20.2</v>
      </c>
      <c r="D352" s="20">
        <v>476700</v>
      </c>
      <c r="E352" s="21">
        <f t="shared" si="25"/>
        <v>427563.2315167351</v>
      </c>
      <c r="G352" s="21">
        <f t="shared" si="26"/>
        <v>-49136.768483264896</v>
      </c>
      <c r="H352" s="21">
        <f t="shared" si="27"/>
        <v>2414422016.9779744</v>
      </c>
      <c r="K352" s="21">
        <f t="shared" si="28"/>
        <v>49136.768483264896</v>
      </c>
      <c r="L352" s="22">
        <f t="shared" si="29"/>
        <v>0.10307692150884182</v>
      </c>
    </row>
    <row r="353" spans="1:12" x14ac:dyDescent="0.3">
      <c r="A353" s="19">
        <v>6.1120000000000001</v>
      </c>
      <c r="B353" s="19">
        <v>12.67</v>
      </c>
      <c r="C353" s="20">
        <v>20.2</v>
      </c>
      <c r="D353" s="20">
        <v>474600</v>
      </c>
      <c r="E353" s="21">
        <f t="shared" si="25"/>
        <v>413354.44651673507</v>
      </c>
      <c r="G353" s="21">
        <f t="shared" si="26"/>
        <v>-61245.553483264928</v>
      </c>
      <c r="H353" s="21">
        <f t="shared" si="27"/>
        <v>3751017821.4714646</v>
      </c>
      <c r="K353" s="21">
        <f t="shared" si="28"/>
        <v>61245.553483264928</v>
      </c>
      <c r="L353" s="22">
        <f t="shared" si="29"/>
        <v>0.12904667822011151</v>
      </c>
    </row>
    <row r="354" spans="1:12" x14ac:dyDescent="0.3">
      <c r="A354" s="19">
        <v>6.3979999999999997</v>
      </c>
      <c r="B354" s="19">
        <v>7.79</v>
      </c>
      <c r="C354" s="20">
        <v>20.2</v>
      </c>
      <c r="D354" s="20">
        <v>525000</v>
      </c>
      <c r="E354" s="21">
        <f t="shared" si="25"/>
        <v>491055.15651673515</v>
      </c>
      <c r="G354" s="21">
        <f t="shared" si="26"/>
        <v>-33944.843483264849</v>
      </c>
      <c r="H354" s="21">
        <f t="shared" si="27"/>
        <v>1152252399.103348</v>
      </c>
      <c r="K354" s="21">
        <f t="shared" si="28"/>
        <v>33944.843483264849</v>
      </c>
      <c r="L354" s="22">
        <f t="shared" si="29"/>
        <v>6.4656844730028279E-2</v>
      </c>
    </row>
    <row r="355" spans="1:12" x14ac:dyDescent="0.3">
      <c r="A355" s="19">
        <v>6.2510000000000003</v>
      </c>
      <c r="B355" s="19">
        <v>14.19</v>
      </c>
      <c r="C355" s="20">
        <v>20.2</v>
      </c>
      <c r="D355" s="20">
        <v>417900</v>
      </c>
      <c r="E355" s="21">
        <f t="shared" si="25"/>
        <v>408896.50151673512</v>
      </c>
      <c r="G355" s="21">
        <f t="shared" si="26"/>
        <v>-9003.498483264877</v>
      </c>
      <c r="H355" s="21">
        <f t="shared" si="27"/>
        <v>81062984.938152939</v>
      </c>
      <c r="K355" s="21">
        <f t="shared" si="28"/>
        <v>9003.498483264877</v>
      </c>
      <c r="L355" s="22">
        <f t="shared" si="29"/>
        <v>2.1544624271990612E-2</v>
      </c>
    </row>
    <row r="356" spans="1:12" x14ac:dyDescent="0.3">
      <c r="A356" s="19">
        <v>5.3620000000000001</v>
      </c>
      <c r="B356" s="19">
        <v>10.19</v>
      </c>
      <c r="C356" s="20">
        <v>20.2</v>
      </c>
      <c r="D356" s="20">
        <v>436800</v>
      </c>
      <c r="E356" s="21">
        <f t="shared" si="25"/>
        <v>375336.21651673497</v>
      </c>
      <c r="G356" s="21">
        <f t="shared" si="26"/>
        <v>-61463.783483265026</v>
      </c>
      <c r="H356" s="21">
        <f t="shared" si="27"/>
        <v>3777796680.0776825</v>
      </c>
      <c r="K356" s="21">
        <f t="shared" si="28"/>
        <v>61463.783483265026</v>
      </c>
      <c r="L356" s="22">
        <f t="shared" si="29"/>
        <v>0.1407137900257899</v>
      </c>
    </row>
    <row r="357" spans="1:12" x14ac:dyDescent="0.3">
      <c r="A357" s="19">
        <v>5.8029999999999999</v>
      </c>
      <c r="B357" s="19">
        <v>14.64</v>
      </c>
      <c r="C357" s="20">
        <v>20.2</v>
      </c>
      <c r="D357" s="20">
        <v>352800</v>
      </c>
      <c r="E357" s="21">
        <f t="shared" si="25"/>
        <v>365233.33151673508</v>
      </c>
      <c r="G357" s="21">
        <f t="shared" si="26"/>
        <v>12433.331516735081</v>
      </c>
      <c r="H357" s="21">
        <f t="shared" si="27"/>
        <v>154587732.60503787</v>
      </c>
      <c r="K357" s="21">
        <f t="shared" si="28"/>
        <v>12433.331516735081</v>
      </c>
      <c r="L357" s="22">
        <f t="shared" si="29"/>
        <v>3.5241869378500795E-2</v>
      </c>
    </row>
    <row r="358" spans="1:12" x14ac:dyDescent="0.3">
      <c r="A358" s="19">
        <v>3.5609999999999999</v>
      </c>
      <c r="B358" s="19">
        <v>7.12</v>
      </c>
      <c r="C358" s="20">
        <v>20.2</v>
      </c>
      <c r="D358" s="20">
        <v>577500</v>
      </c>
      <c r="E358" s="21">
        <f t="shared" si="25"/>
        <v>252739.08151673508</v>
      </c>
      <c r="G358" s="21">
        <f t="shared" si="26"/>
        <v>-324760.91848326492</v>
      </c>
      <c r="H358" s="21">
        <f t="shared" si="27"/>
        <v>105469654174.09384</v>
      </c>
      <c r="K358" s="21">
        <f t="shared" si="28"/>
        <v>324760.91848326492</v>
      </c>
      <c r="L358" s="22">
        <f t="shared" si="29"/>
        <v>0.56235656880219032</v>
      </c>
    </row>
    <row r="359" spans="1:12" x14ac:dyDescent="0.3">
      <c r="A359" s="19">
        <v>4.9630000000000001</v>
      </c>
      <c r="B359" s="19">
        <v>14</v>
      </c>
      <c r="C359" s="20">
        <v>20.2</v>
      </c>
      <c r="D359" s="20">
        <v>459900</v>
      </c>
      <c r="E359" s="21">
        <f t="shared" si="25"/>
        <v>299462.09151673509</v>
      </c>
      <c r="G359" s="21">
        <f t="shared" si="26"/>
        <v>-160437.90848326491</v>
      </c>
      <c r="H359" s="21">
        <f t="shared" si="27"/>
        <v>25740322478.484486</v>
      </c>
      <c r="K359" s="21">
        <f t="shared" si="28"/>
        <v>160437.90848326491</v>
      </c>
      <c r="L359" s="22">
        <f t="shared" si="29"/>
        <v>0.34885389972442904</v>
      </c>
    </row>
    <row r="360" spans="1:12" x14ac:dyDescent="0.3">
      <c r="A360" s="19">
        <v>3.863</v>
      </c>
      <c r="B360" s="19">
        <v>13.33</v>
      </c>
      <c r="C360" s="20">
        <v>20.2</v>
      </c>
      <c r="D360" s="20">
        <v>485100</v>
      </c>
      <c r="E360" s="21">
        <f t="shared" si="25"/>
        <v>211509.42151673493</v>
      </c>
      <c r="G360" s="21">
        <f t="shared" si="26"/>
        <v>-273590.57848326507</v>
      </c>
      <c r="H360" s="21">
        <f t="shared" si="27"/>
        <v>74851804634.807617</v>
      </c>
      <c r="K360" s="21">
        <f t="shared" si="28"/>
        <v>273590.57848326507</v>
      </c>
      <c r="L360" s="22">
        <f t="shared" si="29"/>
        <v>0.56398799934707289</v>
      </c>
    </row>
    <row r="361" spans="1:12" x14ac:dyDescent="0.3">
      <c r="A361" s="19">
        <v>4.9059999999999997</v>
      </c>
      <c r="B361" s="19">
        <v>34.770000000000003</v>
      </c>
      <c r="C361" s="20">
        <v>20.2</v>
      </c>
      <c r="D361" s="20">
        <v>289800</v>
      </c>
      <c r="E361" s="21">
        <f t="shared" si="25"/>
        <v>69194.156516734976</v>
      </c>
      <c r="G361" s="21">
        <f t="shared" si="26"/>
        <v>-220605.84348326502</v>
      </c>
      <c r="H361" s="21">
        <f t="shared" si="27"/>
        <v>48666938178.962822</v>
      </c>
      <c r="K361" s="21">
        <f t="shared" si="28"/>
        <v>220605.84348326502</v>
      </c>
      <c r="L361" s="22">
        <f t="shared" si="29"/>
        <v>0.76123479462824373</v>
      </c>
    </row>
    <row r="362" spans="1:12" x14ac:dyDescent="0.3">
      <c r="A362" s="19">
        <v>4.1379999999999999</v>
      </c>
      <c r="B362" s="19">
        <v>37.97</v>
      </c>
      <c r="C362" s="20">
        <v>20.2</v>
      </c>
      <c r="D362" s="20">
        <v>289800</v>
      </c>
      <c r="E362" s="21">
        <f t="shared" si="25"/>
        <v>-32004.563483264996</v>
      </c>
      <c r="G362" s="21">
        <f t="shared" si="26"/>
        <v>-321804.563483265</v>
      </c>
      <c r="H362" s="21">
        <f t="shared" si="27"/>
        <v>103558177078.65472</v>
      </c>
      <c r="K362" s="21">
        <f t="shared" si="28"/>
        <v>321804.563483265</v>
      </c>
      <c r="L362" s="22">
        <f t="shared" si="29"/>
        <v>1.1104367269953934</v>
      </c>
    </row>
    <row r="363" spans="1:12" x14ac:dyDescent="0.3">
      <c r="A363" s="19">
        <v>7.3129999999999997</v>
      </c>
      <c r="B363" s="19">
        <v>13.44</v>
      </c>
      <c r="C363" s="20">
        <v>20.2</v>
      </c>
      <c r="D363" s="20">
        <v>315000</v>
      </c>
      <c r="E363" s="21">
        <f t="shared" si="25"/>
        <v>508965.28151673492</v>
      </c>
      <c r="G363" s="21">
        <f t="shared" si="26"/>
        <v>193965.28151673492</v>
      </c>
      <c r="H363" s="21">
        <f t="shared" si="27"/>
        <v>37622530433.866226</v>
      </c>
      <c r="K363" s="21">
        <f t="shared" si="28"/>
        <v>193965.28151673492</v>
      </c>
      <c r="L363" s="22">
        <f t="shared" si="29"/>
        <v>0.61576279846582516</v>
      </c>
    </row>
    <row r="364" spans="1:12" x14ac:dyDescent="0.3">
      <c r="A364" s="19">
        <v>6.649</v>
      </c>
      <c r="B364" s="19">
        <v>23.24</v>
      </c>
      <c r="C364" s="20">
        <v>20.2</v>
      </c>
      <c r="D364" s="20">
        <v>291900</v>
      </c>
      <c r="E364" s="21">
        <f t="shared" si="25"/>
        <v>345165.92151673505</v>
      </c>
      <c r="G364" s="21">
        <f t="shared" si="26"/>
        <v>53265.921516735048</v>
      </c>
      <c r="H364" s="21">
        <f t="shared" si="27"/>
        <v>2837258395.026978</v>
      </c>
      <c r="K364" s="21">
        <f t="shared" si="28"/>
        <v>53265.921516735048</v>
      </c>
      <c r="L364" s="22">
        <f t="shared" si="29"/>
        <v>0.18248003260272369</v>
      </c>
    </row>
    <row r="365" spans="1:12" x14ac:dyDescent="0.3">
      <c r="A365" s="19">
        <v>6.7939999999999996</v>
      </c>
      <c r="B365" s="19">
        <v>21.24</v>
      </c>
      <c r="C365" s="20">
        <v>20.2</v>
      </c>
      <c r="D365" s="20">
        <v>279300</v>
      </c>
      <c r="E365" s="21">
        <f t="shared" si="25"/>
        <v>379415.8465167351</v>
      </c>
      <c r="G365" s="21">
        <f t="shared" si="26"/>
        <v>100115.8465167351</v>
      </c>
      <c r="H365" s="21">
        <f t="shared" si="27"/>
        <v>10023182723.762459</v>
      </c>
      <c r="K365" s="21">
        <f t="shared" si="28"/>
        <v>100115.8465167351</v>
      </c>
      <c r="L365" s="22">
        <f t="shared" si="29"/>
        <v>0.35845272651892263</v>
      </c>
    </row>
    <row r="366" spans="1:12" x14ac:dyDescent="0.3">
      <c r="A366" s="19">
        <v>6.38</v>
      </c>
      <c r="B366" s="19">
        <v>23.69</v>
      </c>
      <c r="C366" s="20">
        <v>20.2</v>
      </c>
      <c r="D366" s="20">
        <v>275100</v>
      </c>
      <c r="E366" s="21">
        <f t="shared" si="25"/>
        <v>316997.8865167349</v>
      </c>
      <c r="G366" s="21">
        <f t="shared" si="26"/>
        <v>41897.886516734899</v>
      </c>
      <c r="H366" s="21">
        <f t="shared" si="27"/>
        <v>1755432894.569196</v>
      </c>
      <c r="K366" s="21">
        <f t="shared" si="28"/>
        <v>41897.886516734899</v>
      </c>
      <c r="L366" s="22">
        <f t="shared" si="29"/>
        <v>0.15230056894487423</v>
      </c>
    </row>
    <row r="367" spans="1:12" x14ac:dyDescent="0.3">
      <c r="A367" s="19">
        <v>6.2229999999999999</v>
      </c>
      <c r="B367" s="19">
        <v>21.78</v>
      </c>
      <c r="C367" s="20">
        <v>20.2</v>
      </c>
      <c r="D367" s="20">
        <v>214200</v>
      </c>
      <c r="E367" s="21">
        <f t="shared" si="25"/>
        <v>324128.77151673514</v>
      </c>
      <c r="G367" s="21">
        <f t="shared" si="26"/>
        <v>109928.77151673514</v>
      </c>
      <c r="H367" s="21">
        <f t="shared" si="27"/>
        <v>12084334807.17856</v>
      </c>
      <c r="K367" s="21">
        <f t="shared" si="28"/>
        <v>109928.77151673514</v>
      </c>
      <c r="L367" s="22">
        <f t="shared" si="29"/>
        <v>0.51320621623125651</v>
      </c>
    </row>
    <row r="368" spans="1:12" x14ac:dyDescent="0.3">
      <c r="A368" s="19">
        <v>6.968</v>
      </c>
      <c r="B368" s="19">
        <v>17.21</v>
      </c>
      <c r="C368" s="20">
        <v>20.2</v>
      </c>
      <c r="D368" s="20">
        <v>218400</v>
      </c>
      <c r="E368" s="21">
        <f t="shared" si="25"/>
        <v>438199.62651673512</v>
      </c>
      <c r="G368" s="21">
        <f t="shared" si="26"/>
        <v>219799.62651673512</v>
      </c>
      <c r="H368" s="21">
        <f t="shared" si="27"/>
        <v>48311875816.896248</v>
      </c>
      <c r="K368" s="21">
        <f t="shared" si="28"/>
        <v>219799.62651673512</v>
      </c>
      <c r="L368" s="22">
        <f t="shared" si="29"/>
        <v>1.0064085463220473</v>
      </c>
    </row>
    <row r="369" spans="1:12" x14ac:dyDescent="0.3">
      <c r="A369" s="19">
        <v>6.5449999999999999</v>
      </c>
      <c r="B369" s="19">
        <v>21.08</v>
      </c>
      <c r="C369" s="20">
        <v>20.2</v>
      </c>
      <c r="D369" s="20">
        <v>228900</v>
      </c>
      <c r="E369" s="21">
        <f t="shared" si="25"/>
        <v>359597.00151673512</v>
      </c>
      <c r="G369" s="21">
        <f t="shared" si="26"/>
        <v>130697.00151673512</v>
      </c>
      <c r="H369" s="21">
        <f t="shared" si="27"/>
        <v>17081706205.465464</v>
      </c>
      <c r="K369" s="21">
        <f t="shared" si="28"/>
        <v>130697.00151673512</v>
      </c>
      <c r="L369" s="22">
        <f t="shared" si="29"/>
        <v>0.5709785998983623</v>
      </c>
    </row>
    <row r="370" spans="1:12" x14ac:dyDescent="0.3">
      <c r="A370" s="19">
        <v>5.5359999999999996</v>
      </c>
      <c r="B370" s="19">
        <v>23.6</v>
      </c>
      <c r="C370" s="20">
        <v>20.2</v>
      </c>
      <c r="D370" s="20">
        <v>237300</v>
      </c>
      <c r="E370" s="21">
        <f t="shared" si="25"/>
        <v>244913.43651673506</v>
      </c>
      <c r="G370" s="21">
        <f t="shared" si="26"/>
        <v>7613.4365167350625</v>
      </c>
      <c r="H370" s="21">
        <f t="shared" si="27"/>
        <v>57964415.59435492</v>
      </c>
      <c r="K370" s="21">
        <f t="shared" si="28"/>
        <v>7613.4365167350625</v>
      </c>
      <c r="L370" s="22">
        <f t="shared" si="29"/>
        <v>3.2083592569469292E-2</v>
      </c>
    </row>
    <row r="371" spans="1:12" x14ac:dyDescent="0.3">
      <c r="A371" s="19">
        <v>5.52</v>
      </c>
      <c r="B371" s="19">
        <v>24.56</v>
      </c>
      <c r="C371" s="20">
        <v>20.2</v>
      </c>
      <c r="D371" s="20">
        <v>258300</v>
      </c>
      <c r="E371" s="21">
        <f t="shared" si="25"/>
        <v>233113.3565167351</v>
      </c>
      <c r="G371" s="21">
        <f t="shared" si="26"/>
        <v>-25186.643483264896</v>
      </c>
      <c r="H371" s="21">
        <f t="shared" si="27"/>
        <v>634367009.95309007</v>
      </c>
      <c r="K371" s="21">
        <f t="shared" si="28"/>
        <v>25186.643483264896</v>
      </c>
      <c r="L371" s="22">
        <f t="shared" si="29"/>
        <v>9.7509266292159877E-2</v>
      </c>
    </row>
    <row r="372" spans="1:12" x14ac:dyDescent="0.3">
      <c r="A372" s="19">
        <v>4.3680000000000003</v>
      </c>
      <c r="B372" s="19">
        <v>30.63</v>
      </c>
      <c r="C372" s="20">
        <v>20.2</v>
      </c>
      <c r="D372" s="20">
        <v>184800</v>
      </c>
      <c r="E372" s="21">
        <f t="shared" si="25"/>
        <v>67537.046516735165</v>
      </c>
      <c r="G372" s="21">
        <f t="shared" si="26"/>
        <v>-117262.95348326484</v>
      </c>
      <c r="H372" s="21">
        <f t="shared" si="27"/>
        <v>13750600259.618332</v>
      </c>
      <c r="K372" s="21">
        <f t="shared" si="28"/>
        <v>117262.95348326484</v>
      </c>
      <c r="L372" s="22">
        <f t="shared" si="29"/>
        <v>0.6345397915761084</v>
      </c>
    </row>
    <row r="373" spans="1:12" x14ac:dyDescent="0.3">
      <c r="A373" s="19">
        <v>5.2770000000000001</v>
      </c>
      <c r="B373" s="19">
        <v>30.81</v>
      </c>
      <c r="C373" s="20">
        <v>20.2</v>
      </c>
      <c r="D373" s="20">
        <v>151200</v>
      </c>
      <c r="E373" s="21">
        <f t="shared" si="25"/>
        <v>144271.81151673518</v>
      </c>
      <c r="G373" s="21">
        <f t="shared" si="26"/>
        <v>-6928.1884832648211</v>
      </c>
      <c r="H373" s="21">
        <f t="shared" si="27"/>
        <v>47999795.6596433</v>
      </c>
      <c r="K373" s="21">
        <f t="shared" si="28"/>
        <v>6928.1884832648211</v>
      </c>
      <c r="L373" s="22">
        <f t="shared" si="29"/>
        <v>4.5821352402545111E-2</v>
      </c>
    </row>
    <row r="374" spans="1:12" x14ac:dyDescent="0.3">
      <c r="A374" s="19">
        <v>4.6520000000000001</v>
      </c>
      <c r="B374" s="19">
        <v>28.28</v>
      </c>
      <c r="C374" s="20">
        <v>20.2</v>
      </c>
      <c r="D374" s="20">
        <v>220500</v>
      </c>
      <c r="E374" s="21">
        <f t="shared" si="25"/>
        <v>117616.65651673509</v>
      </c>
      <c r="G374" s="21">
        <f t="shared" si="26"/>
        <v>-102883.34348326491</v>
      </c>
      <c r="H374" s="21">
        <f t="shared" si="27"/>
        <v>10584982366.295467</v>
      </c>
      <c r="K374" s="21">
        <f t="shared" si="28"/>
        <v>102883.34348326491</v>
      </c>
      <c r="L374" s="22">
        <f t="shared" si="29"/>
        <v>0.46659112690823085</v>
      </c>
    </row>
    <row r="375" spans="1:12" x14ac:dyDescent="0.3">
      <c r="A375" s="19">
        <v>5</v>
      </c>
      <c r="B375" s="19">
        <v>31.99</v>
      </c>
      <c r="C375" s="20">
        <v>20.2</v>
      </c>
      <c r="D375" s="20">
        <v>155400</v>
      </c>
      <c r="E375" s="21">
        <f t="shared" si="25"/>
        <v>107491.48651673499</v>
      </c>
      <c r="G375" s="21">
        <f t="shared" si="26"/>
        <v>-47908.513483265007</v>
      </c>
      <c r="H375" s="21">
        <f t="shared" si="27"/>
        <v>2295225664.1761851</v>
      </c>
      <c r="K375" s="21">
        <f t="shared" si="28"/>
        <v>47908.513483265007</v>
      </c>
      <c r="L375" s="22">
        <f t="shared" si="29"/>
        <v>0.30829159255640287</v>
      </c>
    </row>
    <row r="376" spans="1:12" x14ac:dyDescent="0.3">
      <c r="A376" s="19">
        <v>4.88</v>
      </c>
      <c r="B376" s="19">
        <v>30.62</v>
      </c>
      <c r="C376" s="20">
        <v>20.2</v>
      </c>
      <c r="D376" s="20">
        <v>214200</v>
      </c>
      <c r="E376" s="21">
        <f t="shared" si="25"/>
        <v>111966.81651673507</v>
      </c>
      <c r="G376" s="21">
        <f t="shared" si="26"/>
        <v>-102233.18348326493</v>
      </c>
      <c r="H376" s="21">
        <f t="shared" si="27"/>
        <v>10451623805.122913</v>
      </c>
      <c r="K376" s="21">
        <f t="shared" si="28"/>
        <v>102233.18348326493</v>
      </c>
      <c r="L376" s="22">
        <f t="shared" si="29"/>
        <v>0.47727910122906131</v>
      </c>
    </row>
    <row r="377" spans="1:12" x14ac:dyDescent="0.3">
      <c r="A377" s="19">
        <v>5.39</v>
      </c>
      <c r="B377" s="19">
        <v>20.85</v>
      </c>
      <c r="C377" s="20">
        <v>20.2</v>
      </c>
      <c r="D377" s="20">
        <v>241500</v>
      </c>
      <c r="E377" s="21">
        <f t="shared" si="25"/>
        <v>262109.69651673507</v>
      </c>
      <c r="G377" s="21">
        <f t="shared" si="26"/>
        <v>20609.696516735072</v>
      </c>
      <c r="H377" s="21">
        <f t="shared" si="27"/>
        <v>424759590.51192176</v>
      </c>
      <c r="K377" s="21">
        <f t="shared" si="28"/>
        <v>20609.696516735072</v>
      </c>
      <c r="L377" s="22">
        <f t="shared" si="29"/>
        <v>8.5340358247350187E-2</v>
      </c>
    </row>
    <row r="378" spans="1:12" x14ac:dyDescent="0.3">
      <c r="A378" s="19">
        <v>5.7130000000000001</v>
      </c>
      <c r="B378" s="19">
        <v>17.11</v>
      </c>
      <c r="C378" s="20">
        <v>20.2</v>
      </c>
      <c r="D378" s="20">
        <v>317100</v>
      </c>
      <c r="E378" s="21">
        <f t="shared" si="25"/>
        <v>330645.45151673508</v>
      </c>
      <c r="G378" s="21">
        <f t="shared" si="26"/>
        <v>13545.451516735076</v>
      </c>
      <c r="H378" s="21">
        <f t="shared" si="27"/>
        <v>183479256.79222059</v>
      </c>
      <c r="K378" s="21">
        <f t="shared" si="28"/>
        <v>13545.451516735076</v>
      </c>
      <c r="L378" s="22">
        <f t="shared" si="29"/>
        <v>4.2716655681914462E-2</v>
      </c>
    </row>
    <row r="379" spans="1:12" x14ac:dyDescent="0.3">
      <c r="A379" s="19">
        <v>6.0510000000000002</v>
      </c>
      <c r="B379" s="19">
        <v>18.760000000000002</v>
      </c>
      <c r="C379" s="20">
        <v>20.2</v>
      </c>
      <c r="D379" s="20">
        <v>487200</v>
      </c>
      <c r="E379" s="21">
        <f t="shared" si="25"/>
        <v>342003.57151673507</v>
      </c>
      <c r="G379" s="21">
        <f t="shared" si="26"/>
        <v>-145196.42848326493</v>
      </c>
      <c r="H379" s="21">
        <f t="shared" si="27"/>
        <v>21082002844.295868</v>
      </c>
      <c r="K379" s="21">
        <f t="shared" si="28"/>
        <v>145196.42848326493</v>
      </c>
      <c r="L379" s="22">
        <f t="shared" si="29"/>
        <v>0.29802222595087219</v>
      </c>
    </row>
    <row r="380" spans="1:12" x14ac:dyDescent="0.3">
      <c r="A380" s="19">
        <v>5.0359999999999996</v>
      </c>
      <c r="B380" s="19">
        <v>25.68</v>
      </c>
      <c r="C380" s="20">
        <v>20.2</v>
      </c>
      <c r="D380" s="20">
        <v>203700</v>
      </c>
      <c r="E380" s="21">
        <f t="shared" si="25"/>
        <v>179065.01651673502</v>
      </c>
      <c r="G380" s="21">
        <f t="shared" si="26"/>
        <v>-24634.983483264979</v>
      </c>
      <c r="H380" s="21">
        <f t="shared" si="27"/>
        <v>606882411.22073829</v>
      </c>
      <c r="K380" s="21">
        <f t="shared" si="28"/>
        <v>24634.983483264979</v>
      </c>
      <c r="L380" s="22">
        <f t="shared" si="29"/>
        <v>0.12093757232825222</v>
      </c>
    </row>
    <row r="381" spans="1:12" x14ac:dyDescent="0.3">
      <c r="A381" s="19">
        <v>6.1929999999999996</v>
      </c>
      <c r="B381" s="19">
        <v>15.17</v>
      </c>
      <c r="C381" s="20">
        <v>20.2</v>
      </c>
      <c r="D381" s="20">
        <v>289800</v>
      </c>
      <c r="E381" s="21">
        <f t="shared" si="25"/>
        <v>393243.71151673497</v>
      </c>
      <c r="G381" s="21">
        <f t="shared" si="26"/>
        <v>103443.71151673497</v>
      </c>
      <c r="H381" s="21">
        <f t="shared" si="27"/>
        <v>10700601452.357487</v>
      </c>
      <c r="K381" s="21">
        <f t="shared" si="28"/>
        <v>103443.71151673497</v>
      </c>
      <c r="L381" s="22">
        <f t="shared" si="29"/>
        <v>0.35694862497148022</v>
      </c>
    </row>
    <row r="382" spans="1:12" x14ac:dyDescent="0.3">
      <c r="A382" s="19">
        <v>5.8869999999999996</v>
      </c>
      <c r="B382" s="19">
        <v>16.350000000000001</v>
      </c>
      <c r="C382" s="20">
        <v>20.2</v>
      </c>
      <c r="D382" s="20">
        <v>266700</v>
      </c>
      <c r="E382" s="21">
        <f t="shared" si="25"/>
        <v>353953.00151673501</v>
      </c>
      <c r="G382" s="21">
        <f t="shared" si="26"/>
        <v>87253.001516735007</v>
      </c>
      <c r="H382" s="21">
        <f t="shared" si="27"/>
        <v>7613086273.6793613</v>
      </c>
      <c r="K382" s="21">
        <f t="shared" si="28"/>
        <v>87253.001516735007</v>
      </c>
      <c r="L382" s="22">
        <f t="shared" si="29"/>
        <v>0.32715786095513688</v>
      </c>
    </row>
    <row r="383" spans="1:12" x14ac:dyDescent="0.3">
      <c r="A383" s="19">
        <v>6.4710000000000001</v>
      </c>
      <c r="B383" s="19">
        <v>17.12</v>
      </c>
      <c r="C383" s="20">
        <v>20.2</v>
      </c>
      <c r="D383" s="20">
        <v>275100</v>
      </c>
      <c r="E383" s="21">
        <f t="shared" si="25"/>
        <v>396153.23151673499</v>
      </c>
      <c r="G383" s="21">
        <f t="shared" si="26"/>
        <v>121053.23151673499</v>
      </c>
      <c r="H383" s="21">
        <f t="shared" si="27"/>
        <v>14653884860.644241</v>
      </c>
      <c r="K383" s="21">
        <f t="shared" si="28"/>
        <v>121053.23151673499</v>
      </c>
      <c r="L383" s="22">
        <f t="shared" si="29"/>
        <v>0.44003355694923657</v>
      </c>
    </row>
    <row r="384" spans="1:12" x14ac:dyDescent="0.3">
      <c r="A384" s="19">
        <v>6.4050000000000002</v>
      </c>
      <c r="B384" s="19">
        <v>19.37</v>
      </c>
      <c r="C384" s="20">
        <v>20.2</v>
      </c>
      <c r="D384" s="20">
        <v>262500</v>
      </c>
      <c r="E384" s="21">
        <f t="shared" si="25"/>
        <v>366029.69151673518</v>
      </c>
      <c r="G384" s="21">
        <f t="shared" si="26"/>
        <v>103529.69151673518</v>
      </c>
      <c r="H384" s="21">
        <f t="shared" si="27"/>
        <v>10718397025.550348</v>
      </c>
      <c r="K384" s="21">
        <f t="shared" si="28"/>
        <v>103529.69151673518</v>
      </c>
      <c r="L384" s="22">
        <f t="shared" si="29"/>
        <v>0.39439882482565786</v>
      </c>
    </row>
    <row r="385" spans="1:12" x14ac:dyDescent="0.3">
      <c r="A385" s="19">
        <v>5.7469999999999999</v>
      </c>
      <c r="B385" s="19">
        <v>19.920000000000002</v>
      </c>
      <c r="C385" s="20">
        <v>20.2</v>
      </c>
      <c r="D385" s="20">
        <v>178500</v>
      </c>
      <c r="E385" s="21">
        <f t="shared" si="25"/>
        <v>303102.9715167351</v>
      </c>
      <c r="G385" s="21">
        <f t="shared" si="26"/>
        <v>124602.9715167351</v>
      </c>
      <c r="H385" s="21">
        <f t="shared" si="27"/>
        <v>15525900510.800297</v>
      </c>
      <c r="K385" s="21">
        <f t="shared" si="28"/>
        <v>124602.9715167351</v>
      </c>
      <c r="L385" s="22">
        <f t="shared" si="29"/>
        <v>0.69805586283885213</v>
      </c>
    </row>
    <row r="386" spans="1:12" x14ac:dyDescent="0.3">
      <c r="A386" s="19">
        <v>5.4530000000000003</v>
      </c>
      <c r="B386" s="19">
        <v>30.59</v>
      </c>
      <c r="C386" s="20">
        <v>20.2</v>
      </c>
      <c r="D386" s="20">
        <v>105000</v>
      </c>
      <c r="E386" s="21">
        <f t="shared" si="25"/>
        <v>161894.03151673515</v>
      </c>
      <c r="G386" s="21">
        <f t="shared" si="26"/>
        <v>56894.031516735151</v>
      </c>
      <c r="H386" s="21">
        <f t="shared" si="27"/>
        <v>3236930822.2272525</v>
      </c>
      <c r="K386" s="21">
        <f t="shared" si="28"/>
        <v>56894.031516735151</v>
      </c>
      <c r="L386" s="22">
        <f t="shared" si="29"/>
        <v>0.54184791920700148</v>
      </c>
    </row>
    <row r="387" spans="1:12" x14ac:dyDescent="0.3">
      <c r="A387" s="19">
        <v>5.8520000000000003</v>
      </c>
      <c r="B387" s="19">
        <v>29.97</v>
      </c>
      <c r="C387" s="20">
        <v>20.2</v>
      </c>
      <c r="D387" s="20">
        <v>132300</v>
      </c>
      <c r="E387" s="21">
        <f t="shared" si="25"/>
        <v>203159.8465167351</v>
      </c>
      <c r="G387" s="21">
        <f t="shared" si="26"/>
        <v>70859.846516735095</v>
      </c>
      <c r="H387" s="21">
        <f t="shared" si="27"/>
        <v>5021117848.3752546</v>
      </c>
      <c r="K387" s="21">
        <f t="shared" si="28"/>
        <v>70859.846516735095</v>
      </c>
      <c r="L387" s="22">
        <f t="shared" si="29"/>
        <v>0.53559974691409751</v>
      </c>
    </row>
    <row r="388" spans="1:12" x14ac:dyDescent="0.3">
      <c r="A388" s="19">
        <v>5.9870000000000001</v>
      </c>
      <c r="B388" s="19">
        <v>26.77</v>
      </c>
      <c r="C388" s="20">
        <v>20.2</v>
      </c>
      <c r="D388" s="20">
        <v>117600</v>
      </c>
      <c r="E388" s="21">
        <f t="shared" si="25"/>
        <v>249562.92151673505</v>
      </c>
      <c r="G388" s="21">
        <f t="shared" si="26"/>
        <v>131962.92151673505</v>
      </c>
      <c r="H388" s="21">
        <f t="shared" si="27"/>
        <v>17414212655.231976</v>
      </c>
      <c r="K388" s="21">
        <f t="shared" si="28"/>
        <v>131962.92151673505</v>
      </c>
      <c r="L388" s="22">
        <f t="shared" si="29"/>
        <v>1.1221336863667946</v>
      </c>
    </row>
    <row r="389" spans="1:12" x14ac:dyDescent="0.3">
      <c r="A389" s="19">
        <v>6.343</v>
      </c>
      <c r="B389" s="19">
        <v>20.32</v>
      </c>
      <c r="C389" s="20">
        <v>20.2</v>
      </c>
      <c r="D389" s="20">
        <v>151200</v>
      </c>
      <c r="E389" s="21">
        <f t="shared" si="25"/>
        <v>350356.11151673523</v>
      </c>
      <c r="G389" s="21">
        <f t="shared" si="26"/>
        <v>199156.11151673523</v>
      </c>
      <c r="H389" s="21">
        <f t="shared" si="27"/>
        <v>39663156754.466278</v>
      </c>
      <c r="K389" s="21">
        <f t="shared" si="28"/>
        <v>199156.11151673523</v>
      </c>
      <c r="L389" s="22">
        <f t="shared" si="29"/>
        <v>1.3171700497138572</v>
      </c>
    </row>
    <row r="390" spans="1:12" x14ac:dyDescent="0.3">
      <c r="A390" s="19">
        <v>6.4039999999999999</v>
      </c>
      <c r="B390" s="19">
        <v>20.309999999999999</v>
      </c>
      <c r="C390" s="20">
        <v>20.2</v>
      </c>
      <c r="D390" s="20">
        <v>254100</v>
      </c>
      <c r="E390" s="21">
        <f t="shared" ref="E390:E453" si="30">415464.396516735+86565*(A390)-10849*(B390)-19492*(C390)</f>
        <v>355745.06651673507</v>
      </c>
      <c r="G390" s="21">
        <f t="shared" ref="G390:G453" si="31">E390-D390</f>
        <v>101645.06651673507</v>
      </c>
      <c r="H390" s="21">
        <f t="shared" ref="H390:H453" si="32">G390^2</f>
        <v>10331719547.191496</v>
      </c>
      <c r="K390" s="21">
        <f t="shared" ref="K390:K453" si="33">ABS(G390)</f>
        <v>101645.06651673507</v>
      </c>
      <c r="L390" s="22">
        <f t="shared" ref="L390:L453" si="34">ABS(G390/D390)</f>
        <v>0.40001993906625372</v>
      </c>
    </row>
    <row r="391" spans="1:12" x14ac:dyDescent="0.3">
      <c r="A391" s="19">
        <v>5.3490000000000002</v>
      </c>
      <c r="B391" s="19">
        <v>19.77</v>
      </c>
      <c r="C391" s="20">
        <v>20.2</v>
      </c>
      <c r="D391" s="20">
        <v>174300</v>
      </c>
      <c r="E391" s="21">
        <f t="shared" si="30"/>
        <v>270277.45151673508</v>
      </c>
      <c r="G391" s="21">
        <f t="shared" si="31"/>
        <v>95977.451516735076</v>
      </c>
      <c r="H391" s="21">
        <f t="shared" si="32"/>
        <v>9211671199.6472321</v>
      </c>
      <c r="K391" s="21">
        <f t="shared" si="33"/>
        <v>95977.451516735076</v>
      </c>
      <c r="L391" s="22">
        <f t="shared" si="34"/>
        <v>0.55064516073858338</v>
      </c>
    </row>
    <row r="392" spans="1:12" x14ac:dyDescent="0.3">
      <c r="A392" s="19">
        <v>5.5309999999999997</v>
      </c>
      <c r="B392" s="19">
        <v>27.38</v>
      </c>
      <c r="C392" s="20">
        <v>20.2</v>
      </c>
      <c r="D392" s="20">
        <v>178500</v>
      </c>
      <c r="E392" s="21">
        <f t="shared" si="30"/>
        <v>203471.39151673502</v>
      </c>
      <c r="G392" s="21">
        <f t="shared" si="31"/>
        <v>24971.391516735021</v>
      </c>
      <c r="H392" s="21">
        <f t="shared" si="32"/>
        <v>623570394.28206575</v>
      </c>
      <c r="K392" s="21">
        <f t="shared" si="33"/>
        <v>24971.391516735021</v>
      </c>
      <c r="L392" s="22">
        <f t="shared" si="34"/>
        <v>0.13989575079403374</v>
      </c>
    </row>
    <row r="393" spans="1:12" x14ac:dyDescent="0.3">
      <c r="A393" s="19">
        <v>5.6829999999999998</v>
      </c>
      <c r="B393" s="19">
        <v>22.98</v>
      </c>
      <c r="C393" s="20">
        <v>20.2</v>
      </c>
      <c r="D393" s="20">
        <v>105000</v>
      </c>
      <c r="E393" s="21">
        <f t="shared" si="30"/>
        <v>264364.871516735</v>
      </c>
      <c r="G393" s="21">
        <f t="shared" si="31"/>
        <v>159364.871516735</v>
      </c>
      <c r="H393" s="21">
        <f t="shared" si="32"/>
        <v>25397162273.545456</v>
      </c>
      <c r="K393" s="21">
        <f t="shared" si="33"/>
        <v>159364.871516735</v>
      </c>
      <c r="L393" s="22">
        <f t="shared" si="34"/>
        <v>1.5177606811117619</v>
      </c>
    </row>
    <row r="394" spans="1:12" x14ac:dyDescent="0.3">
      <c r="A394" s="19">
        <v>4.1379999999999999</v>
      </c>
      <c r="B394" s="19">
        <v>23.34</v>
      </c>
      <c r="C394" s="20">
        <v>20.2</v>
      </c>
      <c r="D394" s="20">
        <v>249900</v>
      </c>
      <c r="E394" s="21">
        <f t="shared" si="30"/>
        <v>126716.30651673494</v>
      </c>
      <c r="G394" s="21">
        <f t="shared" si="31"/>
        <v>-123183.69348326506</v>
      </c>
      <c r="H394" s="21">
        <f t="shared" si="32"/>
        <v>15174222340.178999</v>
      </c>
      <c r="K394" s="21">
        <f t="shared" si="33"/>
        <v>123183.69348326506</v>
      </c>
      <c r="L394" s="22">
        <f t="shared" si="34"/>
        <v>0.49293194671174495</v>
      </c>
    </row>
    <row r="395" spans="1:12" x14ac:dyDescent="0.3">
      <c r="A395" s="19">
        <v>5.6079999999999997</v>
      </c>
      <c r="B395" s="19">
        <v>12.13</v>
      </c>
      <c r="C395" s="20">
        <v>20.2</v>
      </c>
      <c r="D395" s="20">
        <v>585900</v>
      </c>
      <c r="E395" s="21">
        <f t="shared" si="30"/>
        <v>375584.14651673503</v>
      </c>
      <c r="G395" s="21">
        <f t="shared" si="31"/>
        <v>-210315.85348326497</v>
      </c>
      <c r="H395" s="21">
        <f t="shared" si="32"/>
        <v>44232758226.39418</v>
      </c>
      <c r="K395" s="21">
        <f t="shared" si="33"/>
        <v>210315.85348326497</v>
      </c>
      <c r="L395" s="22">
        <f t="shared" si="34"/>
        <v>0.35896203018137052</v>
      </c>
    </row>
    <row r="396" spans="1:12" x14ac:dyDescent="0.3">
      <c r="A396" s="19">
        <v>5.617</v>
      </c>
      <c r="B396" s="19">
        <v>26.4</v>
      </c>
      <c r="C396" s="20">
        <v>20.2</v>
      </c>
      <c r="D396" s="20">
        <v>361200</v>
      </c>
      <c r="E396" s="21">
        <f t="shared" si="30"/>
        <v>221548.00151673501</v>
      </c>
      <c r="G396" s="21">
        <f t="shared" si="31"/>
        <v>-139651.99848326499</v>
      </c>
      <c r="H396" s="21">
        <f t="shared" si="32"/>
        <v>19502680680.369846</v>
      </c>
      <c r="K396" s="21">
        <f t="shared" si="33"/>
        <v>139651.99848326499</v>
      </c>
      <c r="L396" s="22">
        <f t="shared" si="34"/>
        <v>0.38663343987614895</v>
      </c>
    </row>
    <row r="397" spans="1:12" x14ac:dyDescent="0.3">
      <c r="A397" s="19">
        <v>6.8520000000000003</v>
      </c>
      <c r="B397" s="19">
        <v>19.78</v>
      </c>
      <c r="C397" s="20">
        <v>20.2</v>
      </c>
      <c r="D397" s="20">
        <v>577500</v>
      </c>
      <c r="E397" s="21">
        <f t="shared" si="30"/>
        <v>400276.15651673515</v>
      </c>
      <c r="G397" s="21">
        <f t="shared" si="31"/>
        <v>-177223.84348326485</v>
      </c>
      <c r="H397" s="21">
        <f t="shared" si="32"/>
        <v>31408290698.980755</v>
      </c>
      <c r="K397" s="21">
        <f t="shared" si="33"/>
        <v>177223.84348326485</v>
      </c>
      <c r="L397" s="22">
        <f t="shared" si="34"/>
        <v>0.30688111425673564</v>
      </c>
    </row>
    <row r="398" spans="1:12" x14ac:dyDescent="0.3">
      <c r="A398" s="19">
        <v>5.7569999999999997</v>
      </c>
      <c r="B398" s="19">
        <v>10.11</v>
      </c>
      <c r="C398" s="20">
        <v>20.2</v>
      </c>
      <c r="D398" s="20">
        <v>315000</v>
      </c>
      <c r="E398" s="21">
        <f t="shared" si="30"/>
        <v>410397.31151673506</v>
      </c>
      <c r="G398" s="21">
        <f t="shared" si="31"/>
        <v>95397.311516735062</v>
      </c>
      <c r="H398" s="21">
        <f t="shared" si="32"/>
        <v>9100647044.6209927</v>
      </c>
      <c r="K398" s="21">
        <f t="shared" si="33"/>
        <v>95397.311516735062</v>
      </c>
      <c r="L398" s="22">
        <f t="shared" si="34"/>
        <v>0.30284860798963514</v>
      </c>
    </row>
    <row r="399" spans="1:12" x14ac:dyDescent="0.3">
      <c r="A399" s="19">
        <v>6.657</v>
      </c>
      <c r="B399" s="19">
        <v>21.22</v>
      </c>
      <c r="C399" s="20">
        <v>20.2</v>
      </c>
      <c r="D399" s="20">
        <v>361200</v>
      </c>
      <c r="E399" s="21">
        <f t="shared" si="30"/>
        <v>367773.42151673505</v>
      </c>
      <c r="G399" s="21">
        <f t="shared" si="31"/>
        <v>6573.4215167350485</v>
      </c>
      <c r="H399" s="21">
        <f t="shared" si="32"/>
        <v>43209870.436675303</v>
      </c>
      <c r="K399" s="21">
        <f t="shared" si="33"/>
        <v>6573.4215167350485</v>
      </c>
      <c r="L399" s="22">
        <f t="shared" si="34"/>
        <v>1.8198841408458052E-2</v>
      </c>
    </row>
    <row r="400" spans="1:12" x14ac:dyDescent="0.3">
      <c r="A400" s="19">
        <v>4.6280000000000001</v>
      </c>
      <c r="B400" s="19">
        <v>34.369999999999997</v>
      </c>
      <c r="C400" s="20">
        <v>20.2</v>
      </c>
      <c r="D400" s="20">
        <v>375900</v>
      </c>
      <c r="E400" s="21">
        <f t="shared" si="30"/>
        <v>49468.686516735121</v>
      </c>
      <c r="G400" s="21">
        <f t="shared" si="31"/>
        <v>-326431.31348326488</v>
      </c>
      <c r="H400" s="21">
        <f t="shared" si="32"/>
        <v>106557402422.40955</v>
      </c>
      <c r="K400" s="21">
        <f t="shared" si="33"/>
        <v>326431.31348326488</v>
      </c>
      <c r="L400" s="22">
        <f t="shared" si="34"/>
        <v>0.86839934419596931</v>
      </c>
    </row>
    <row r="401" spans="1:12" x14ac:dyDescent="0.3">
      <c r="A401" s="19">
        <v>5.1550000000000002</v>
      </c>
      <c r="B401" s="19">
        <v>20.079999999999998</v>
      </c>
      <c r="C401" s="20">
        <v>20.2</v>
      </c>
      <c r="D401" s="20">
        <v>342300</v>
      </c>
      <c r="E401" s="21">
        <f t="shared" si="30"/>
        <v>250120.65151673503</v>
      </c>
      <c r="G401" s="21">
        <f t="shared" si="31"/>
        <v>-92179.34848326497</v>
      </c>
      <c r="H401" s="21">
        <f t="shared" si="32"/>
        <v>8497032286.7992039</v>
      </c>
      <c r="K401" s="21">
        <f t="shared" si="33"/>
        <v>92179.34848326497</v>
      </c>
      <c r="L401" s="22">
        <f t="shared" si="34"/>
        <v>0.26929403588450179</v>
      </c>
    </row>
    <row r="402" spans="1:12" x14ac:dyDescent="0.3">
      <c r="A402" s="19">
        <v>4.5190000000000001</v>
      </c>
      <c r="B402" s="19">
        <v>36.979999999999997</v>
      </c>
      <c r="C402" s="20">
        <v>20.2</v>
      </c>
      <c r="D402" s="20">
        <v>147000</v>
      </c>
      <c r="E402" s="21">
        <f t="shared" si="30"/>
        <v>11717.211516735144</v>
      </c>
      <c r="G402" s="21">
        <f t="shared" si="31"/>
        <v>-135282.78848326486</v>
      </c>
      <c r="H402" s="21">
        <f t="shared" si="32"/>
        <v>18301432859.807777</v>
      </c>
      <c r="K402" s="21">
        <f t="shared" si="33"/>
        <v>135282.78848326486</v>
      </c>
      <c r="L402" s="22">
        <f t="shared" si="34"/>
        <v>0.92029107811744804</v>
      </c>
    </row>
    <row r="403" spans="1:12" x14ac:dyDescent="0.3">
      <c r="A403" s="19">
        <v>6.4340000000000002</v>
      </c>
      <c r="B403" s="19">
        <v>29.05</v>
      </c>
      <c r="C403" s="20">
        <v>20.2</v>
      </c>
      <c r="D403" s="20">
        <v>151200</v>
      </c>
      <c r="E403" s="21">
        <f t="shared" si="30"/>
        <v>263521.75651673501</v>
      </c>
      <c r="G403" s="21">
        <f t="shared" si="31"/>
        <v>112321.75651673501</v>
      </c>
      <c r="H403" s="21">
        <f t="shared" si="32"/>
        <v>12616176987.004704</v>
      </c>
      <c r="K403" s="21">
        <f t="shared" si="33"/>
        <v>112321.75651673501</v>
      </c>
      <c r="L403" s="22">
        <f t="shared" si="34"/>
        <v>0.74286876003131619</v>
      </c>
    </row>
    <row r="404" spans="1:12" x14ac:dyDescent="0.3">
      <c r="A404" s="19">
        <v>6.782</v>
      </c>
      <c r="B404" s="19">
        <v>25.79</v>
      </c>
      <c r="C404" s="20">
        <v>20.2</v>
      </c>
      <c r="D404" s="20">
        <v>157500</v>
      </c>
      <c r="E404" s="21">
        <f t="shared" si="30"/>
        <v>329014.11651673511</v>
      </c>
      <c r="G404" s="21">
        <f t="shared" si="31"/>
        <v>171514.11651673511</v>
      </c>
      <c r="H404" s="21">
        <f t="shared" si="32"/>
        <v>29417092164.51619</v>
      </c>
      <c r="K404" s="21">
        <f t="shared" si="33"/>
        <v>171514.11651673511</v>
      </c>
      <c r="L404" s="22">
        <f t="shared" si="34"/>
        <v>1.088978517566572</v>
      </c>
    </row>
    <row r="405" spans="1:12" x14ac:dyDescent="0.3">
      <c r="A405" s="19">
        <v>5.3040000000000003</v>
      </c>
      <c r="B405" s="19">
        <v>26.64</v>
      </c>
      <c r="C405" s="20">
        <v>20.2</v>
      </c>
      <c r="D405" s="20">
        <v>218400</v>
      </c>
      <c r="E405" s="21">
        <f t="shared" si="30"/>
        <v>191849.39651673503</v>
      </c>
      <c r="G405" s="21">
        <f t="shared" si="31"/>
        <v>-26550.603483264975</v>
      </c>
      <c r="H405" s="21">
        <f t="shared" si="32"/>
        <v>704934545.32556224</v>
      </c>
      <c r="K405" s="21">
        <f t="shared" si="33"/>
        <v>26550.603483264975</v>
      </c>
      <c r="L405" s="22">
        <f t="shared" si="34"/>
        <v>0.12156869726769677</v>
      </c>
    </row>
    <row r="406" spans="1:12" x14ac:dyDescent="0.3">
      <c r="A406" s="19">
        <v>5.9569999999999999</v>
      </c>
      <c r="B406" s="19">
        <v>20.62</v>
      </c>
      <c r="C406" s="20">
        <v>20.2</v>
      </c>
      <c r="D406" s="20">
        <v>184800</v>
      </c>
      <c r="E406" s="21">
        <f t="shared" si="30"/>
        <v>313687.32151673507</v>
      </c>
      <c r="G406" s="21">
        <f t="shared" si="31"/>
        <v>128887.32151673507</v>
      </c>
      <c r="H406" s="21">
        <f t="shared" si="32"/>
        <v>16611941647.75824</v>
      </c>
      <c r="K406" s="21">
        <f t="shared" si="33"/>
        <v>128887.32151673507</v>
      </c>
      <c r="L406" s="22">
        <f t="shared" si="34"/>
        <v>0.69744221599964862</v>
      </c>
    </row>
    <row r="407" spans="1:12" x14ac:dyDescent="0.3">
      <c r="A407" s="19">
        <v>6.8239999999999998</v>
      </c>
      <c r="B407" s="19">
        <v>22.74</v>
      </c>
      <c r="C407" s="20">
        <v>20.2</v>
      </c>
      <c r="D407" s="20">
        <v>176400</v>
      </c>
      <c r="E407" s="21">
        <f t="shared" si="30"/>
        <v>365739.29651673505</v>
      </c>
      <c r="G407" s="21">
        <f t="shared" si="31"/>
        <v>189339.29651673505</v>
      </c>
      <c r="H407" s="21">
        <f t="shared" si="32"/>
        <v>35849369205.452118</v>
      </c>
      <c r="K407" s="21">
        <f t="shared" si="33"/>
        <v>189339.29651673505</v>
      </c>
      <c r="L407" s="22">
        <f t="shared" si="34"/>
        <v>1.0733520210699266</v>
      </c>
    </row>
    <row r="408" spans="1:12" x14ac:dyDescent="0.3">
      <c r="A408" s="19">
        <v>6.4109999999999996</v>
      </c>
      <c r="B408" s="19">
        <v>15.02</v>
      </c>
      <c r="C408" s="20">
        <v>20.2</v>
      </c>
      <c r="D408" s="20">
        <v>350700</v>
      </c>
      <c r="E408" s="21">
        <f t="shared" si="30"/>
        <v>413742.2315167351</v>
      </c>
      <c r="G408" s="21">
        <f t="shared" si="31"/>
        <v>63042.231516735104</v>
      </c>
      <c r="H408" s="21">
        <f t="shared" si="32"/>
        <v>3974322954.6096287</v>
      </c>
      <c r="K408" s="21">
        <f t="shared" si="33"/>
        <v>63042.231516735104</v>
      </c>
      <c r="L408" s="22">
        <f t="shared" si="34"/>
        <v>0.17976113919799003</v>
      </c>
    </row>
    <row r="409" spans="1:12" x14ac:dyDescent="0.3">
      <c r="A409" s="19">
        <v>6.0060000000000002</v>
      </c>
      <c r="B409" s="19">
        <v>15.7</v>
      </c>
      <c r="C409" s="20">
        <v>20.2</v>
      </c>
      <c r="D409" s="20">
        <v>298200</v>
      </c>
      <c r="E409" s="21">
        <f t="shared" si="30"/>
        <v>371306.08651673509</v>
      </c>
      <c r="G409" s="21">
        <f t="shared" si="31"/>
        <v>73106.086516735086</v>
      </c>
      <c r="H409" s="21">
        <f t="shared" si="32"/>
        <v>5344499885.7923555</v>
      </c>
      <c r="K409" s="21">
        <f t="shared" si="33"/>
        <v>73106.086516735086</v>
      </c>
      <c r="L409" s="22">
        <f t="shared" si="34"/>
        <v>0.24515790247060726</v>
      </c>
    </row>
    <row r="410" spans="1:12" x14ac:dyDescent="0.3">
      <c r="A410" s="19">
        <v>5.6479999999999997</v>
      </c>
      <c r="B410" s="19">
        <v>14.1</v>
      </c>
      <c r="C410" s="20">
        <v>20.2</v>
      </c>
      <c r="D410" s="20">
        <v>436800</v>
      </c>
      <c r="E410" s="21">
        <f t="shared" si="30"/>
        <v>357674.21651673509</v>
      </c>
      <c r="G410" s="21">
        <f t="shared" si="31"/>
        <v>-79125.78348326491</v>
      </c>
      <c r="H410" s="21">
        <f t="shared" si="32"/>
        <v>6260889611.840518</v>
      </c>
      <c r="K410" s="21">
        <f t="shared" si="33"/>
        <v>79125.78348326491</v>
      </c>
      <c r="L410" s="22">
        <f t="shared" si="34"/>
        <v>0.18114877171077132</v>
      </c>
    </row>
    <row r="411" spans="1:12" x14ac:dyDescent="0.3">
      <c r="A411" s="19">
        <v>6.1029999999999998</v>
      </c>
      <c r="B411" s="19">
        <v>23.29</v>
      </c>
      <c r="C411" s="20">
        <v>20.2</v>
      </c>
      <c r="D411" s="20">
        <v>281400</v>
      </c>
      <c r="E411" s="21">
        <f t="shared" si="30"/>
        <v>297358.9815167351</v>
      </c>
      <c r="G411" s="21">
        <f t="shared" si="31"/>
        <v>15958.981516735104</v>
      </c>
      <c r="H411" s="21">
        <f t="shared" si="32"/>
        <v>254689091.05149269</v>
      </c>
      <c r="K411" s="21">
        <f t="shared" si="33"/>
        <v>15958.981516735104</v>
      </c>
      <c r="L411" s="22">
        <f t="shared" si="34"/>
        <v>5.6712798566933564E-2</v>
      </c>
    </row>
    <row r="412" spans="1:12" x14ac:dyDescent="0.3">
      <c r="A412" s="19">
        <v>5.5650000000000004</v>
      </c>
      <c r="B412" s="19">
        <v>17.16</v>
      </c>
      <c r="C412" s="20">
        <v>20.2</v>
      </c>
      <c r="D412" s="20">
        <v>245700</v>
      </c>
      <c r="E412" s="21">
        <f t="shared" si="30"/>
        <v>317291.38151673513</v>
      </c>
      <c r="G412" s="21">
        <f t="shared" si="31"/>
        <v>71591.381516735128</v>
      </c>
      <c r="H412" s="21">
        <f t="shared" si="32"/>
        <v>5125325907.4747238</v>
      </c>
      <c r="K412" s="21">
        <f t="shared" si="33"/>
        <v>71591.381516735128</v>
      </c>
      <c r="L412" s="22">
        <f t="shared" si="34"/>
        <v>0.29137721415032614</v>
      </c>
    </row>
    <row r="413" spans="1:12" x14ac:dyDescent="0.3">
      <c r="A413" s="19">
        <v>5.8959999999999999</v>
      </c>
      <c r="B413" s="19">
        <v>24.39</v>
      </c>
      <c r="C413" s="20">
        <v>20.2</v>
      </c>
      <c r="D413" s="20">
        <v>174300</v>
      </c>
      <c r="E413" s="21">
        <f t="shared" si="30"/>
        <v>267506.12651673501</v>
      </c>
      <c r="G413" s="21">
        <f t="shared" si="31"/>
        <v>93206.126516735007</v>
      </c>
      <c r="H413" s="21">
        <f t="shared" si="32"/>
        <v>8687382020.2536125</v>
      </c>
      <c r="K413" s="21">
        <f t="shared" si="33"/>
        <v>93206.126516735007</v>
      </c>
      <c r="L413" s="22">
        <f t="shared" si="34"/>
        <v>0.53474541891414229</v>
      </c>
    </row>
    <row r="414" spans="1:12" x14ac:dyDescent="0.3">
      <c r="A414" s="19">
        <v>5.8369999999999997</v>
      </c>
      <c r="B414" s="19">
        <v>15.69</v>
      </c>
      <c r="C414" s="20">
        <v>20.2</v>
      </c>
      <c r="D414" s="20">
        <v>214200</v>
      </c>
      <c r="E414" s="21">
        <f t="shared" si="30"/>
        <v>356785.09151673497</v>
      </c>
      <c r="G414" s="21">
        <f t="shared" si="31"/>
        <v>142585.09151673497</v>
      </c>
      <c r="H414" s="21">
        <f t="shared" si="32"/>
        <v>20330508322.83569</v>
      </c>
      <c r="K414" s="21">
        <f t="shared" si="33"/>
        <v>142585.09151673497</v>
      </c>
      <c r="L414" s="22">
        <f t="shared" si="34"/>
        <v>0.66566335908839858</v>
      </c>
    </row>
    <row r="415" spans="1:12" x14ac:dyDescent="0.3">
      <c r="A415" s="19">
        <v>6.202</v>
      </c>
      <c r="B415" s="19">
        <v>14.52</v>
      </c>
      <c r="C415" s="20">
        <v>20.2</v>
      </c>
      <c r="D415" s="20">
        <v>228900</v>
      </c>
      <c r="E415" s="21">
        <f t="shared" si="30"/>
        <v>401074.64651673514</v>
      </c>
      <c r="G415" s="21">
        <f t="shared" si="31"/>
        <v>172174.64651673514</v>
      </c>
      <c r="H415" s="21">
        <f t="shared" si="32"/>
        <v>29644108903.162697</v>
      </c>
      <c r="K415" s="21">
        <f t="shared" si="33"/>
        <v>172174.64651673514</v>
      </c>
      <c r="L415" s="22">
        <f t="shared" si="34"/>
        <v>0.75218281571312862</v>
      </c>
    </row>
    <row r="416" spans="1:12" x14ac:dyDescent="0.3">
      <c r="A416" s="19">
        <v>6.1929999999999996</v>
      </c>
      <c r="B416" s="19">
        <v>21.52</v>
      </c>
      <c r="C416" s="20">
        <v>20.2</v>
      </c>
      <c r="D416" s="20">
        <v>231000</v>
      </c>
      <c r="E416" s="21">
        <f t="shared" si="30"/>
        <v>324352.56151673495</v>
      </c>
      <c r="G416" s="21">
        <f t="shared" si="31"/>
        <v>93352.561516734946</v>
      </c>
      <c r="H416" s="21">
        <f t="shared" si="32"/>
        <v>8714700741.7357826</v>
      </c>
      <c r="K416" s="21">
        <f t="shared" si="33"/>
        <v>93352.561516734946</v>
      </c>
      <c r="L416" s="22">
        <f t="shared" si="34"/>
        <v>0.40412364292958852</v>
      </c>
    </row>
    <row r="417" spans="1:12" x14ac:dyDescent="0.3">
      <c r="A417" s="19">
        <v>6.38</v>
      </c>
      <c r="B417" s="19">
        <v>24.08</v>
      </c>
      <c r="C417" s="20">
        <v>20.2</v>
      </c>
      <c r="D417" s="20">
        <v>199500</v>
      </c>
      <c r="E417" s="21">
        <f t="shared" si="30"/>
        <v>312766.77651673503</v>
      </c>
      <c r="G417" s="21">
        <f t="shared" si="31"/>
        <v>113266.77651673503</v>
      </c>
      <c r="H417" s="21">
        <f t="shared" si="32"/>
        <v>12829362662.491999</v>
      </c>
      <c r="K417" s="21">
        <f t="shared" si="33"/>
        <v>113266.77651673503</v>
      </c>
      <c r="L417" s="22">
        <f t="shared" si="34"/>
        <v>0.5677532657480453</v>
      </c>
    </row>
    <row r="418" spans="1:12" x14ac:dyDescent="0.3">
      <c r="A418" s="19">
        <v>6.3479999999999999</v>
      </c>
      <c r="B418" s="19">
        <v>17.64</v>
      </c>
      <c r="C418" s="20">
        <v>20.2</v>
      </c>
      <c r="D418" s="20">
        <v>304500</v>
      </c>
      <c r="E418" s="21">
        <f t="shared" si="30"/>
        <v>379864.25651673513</v>
      </c>
      <c r="G418" s="21">
        <f t="shared" si="31"/>
        <v>75364.256516735128</v>
      </c>
      <c r="H418" s="21">
        <f t="shared" si="32"/>
        <v>5679771160.3202534</v>
      </c>
      <c r="K418" s="21">
        <f t="shared" si="33"/>
        <v>75364.256516735128</v>
      </c>
      <c r="L418" s="22">
        <f t="shared" si="34"/>
        <v>0.24750166343755378</v>
      </c>
    </row>
    <row r="419" spans="1:12" x14ac:dyDescent="0.3">
      <c r="A419" s="19">
        <v>6.8330000000000002</v>
      </c>
      <c r="B419" s="19">
        <v>19.690000000000001</v>
      </c>
      <c r="C419" s="20">
        <v>20.2</v>
      </c>
      <c r="D419" s="20">
        <v>296100</v>
      </c>
      <c r="E419" s="21">
        <f t="shared" si="30"/>
        <v>399607.83151673496</v>
      </c>
      <c r="G419" s="21">
        <f t="shared" si="31"/>
        <v>103507.83151673496</v>
      </c>
      <c r="H419" s="21">
        <f t="shared" si="32"/>
        <v>10713871185.296793</v>
      </c>
      <c r="K419" s="21">
        <f t="shared" si="33"/>
        <v>103507.83151673496</v>
      </c>
      <c r="L419" s="22">
        <f t="shared" si="34"/>
        <v>0.34957052183969933</v>
      </c>
    </row>
    <row r="420" spans="1:12" x14ac:dyDescent="0.3">
      <c r="A420" s="19">
        <v>6.4249999999999998</v>
      </c>
      <c r="B420" s="19">
        <v>12.03</v>
      </c>
      <c r="C420" s="20">
        <v>20.2</v>
      </c>
      <c r="D420" s="20">
        <v>338100</v>
      </c>
      <c r="E420" s="21">
        <f t="shared" si="30"/>
        <v>447392.65151673503</v>
      </c>
      <c r="G420" s="21">
        <f t="shared" si="31"/>
        <v>109292.65151673503</v>
      </c>
      <c r="H420" s="21">
        <f t="shared" si="32"/>
        <v>11944883675.558483</v>
      </c>
      <c r="K420" s="21">
        <f t="shared" si="33"/>
        <v>109292.65151673503</v>
      </c>
      <c r="L420" s="22">
        <f t="shared" si="34"/>
        <v>0.32325540229735295</v>
      </c>
    </row>
    <row r="421" spans="1:12" x14ac:dyDescent="0.3">
      <c r="A421" s="19">
        <v>6.4359999999999999</v>
      </c>
      <c r="B421" s="19">
        <v>16.22</v>
      </c>
      <c r="C421" s="20">
        <v>20.2</v>
      </c>
      <c r="D421" s="20">
        <v>300300</v>
      </c>
      <c r="E421" s="21">
        <f t="shared" si="30"/>
        <v>402887.55651673506</v>
      </c>
      <c r="G421" s="21">
        <f t="shared" si="31"/>
        <v>102587.55651673506</v>
      </c>
      <c r="H421" s="21">
        <f t="shared" si="32"/>
        <v>10524206752.07431</v>
      </c>
      <c r="K421" s="21">
        <f t="shared" si="33"/>
        <v>102587.55651673506</v>
      </c>
      <c r="L421" s="22">
        <f t="shared" si="34"/>
        <v>0.34161690481763257</v>
      </c>
    </row>
    <row r="422" spans="1:12" x14ac:dyDescent="0.3">
      <c r="A422" s="19">
        <v>6.2080000000000002</v>
      </c>
      <c r="B422" s="19">
        <v>15.17</v>
      </c>
      <c r="C422" s="20">
        <v>20.2</v>
      </c>
      <c r="D422" s="20">
        <v>245700</v>
      </c>
      <c r="E422" s="21">
        <f t="shared" si="30"/>
        <v>394542.18651673506</v>
      </c>
      <c r="G422" s="21">
        <f t="shared" si="31"/>
        <v>148842.18651673506</v>
      </c>
      <c r="H422" s="21">
        <f t="shared" si="32"/>
        <v>22153996487.08255</v>
      </c>
      <c r="K422" s="21">
        <f t="shared" si="33"/>
        <v>148842.18651673506</v>
      </c>
      <c r="L422" s="22">
        <f t="shared" si="34"/>
        <v>0.60578830491141666</v>
      </c>
    </row>
    <row r="423" spans="1:12" x14ac:dyDescent="0.3">
      <c r="A423" s="19">
        <v>6.6289999999999996</v>
      </c>
      <c r="B423" s="19">
        <v>23.27</v>
      </c>
      <c r="C423" s="20">
        <v>20.2</v>
      </c>
      <c r="D423" s="20">
        <v>281400</v>
      </c>
      <c r="E423" s="21">
        <f t="shared" si="30"/>
        <v>343109.15151673503</v>
      </c>
      <c r="G423" s="21">
        <f t="shared" si="31"/>
        <v>61709.15151673503</v>
      </c>
      <c r="H423" s="21">
        <f t="shared" si="32"/>
        <v>3808019380.9153614</v>
      </c>
      <c r="K423" s="21">
        <f t="shared" si="33"/>
        <v>61709.15151673503</v>
      </c>
      <c r="L423" s="22">
        <f t="shared" si="34"/>
        <v>0.21929336004525596</v>
      </c>
    </row>
    <row r="424" spans="1:12" x14ac:dyDescent="0.3">
      <c r="A424" s="19">
        <v>6.4610000000000003</v>
      </c>
      <c r="B424" s="19">
        <v>18.05</v>
      </c>
      <c r="C424" s="20">
        <v>20.2</v>
      </c>
      <c r="D424" s="20">
        <v>201600</v>
      </c>
      <c r="E424" s="21">
        <f t="shared" si="30"/>
        <v>385198.01151673513</v>
      </c>
      <c r="G424" s="21">
        <f t="shared" si="31"/>
        <v>183598.01151673513</v>
      </c>
      <c r="H424" s="21">
        <f t="shared" si="32"/>
        <v>33708229832.899208</v>
      </c>
      <c r="K424" s="21">
        <f t="shared" si="33"/>
        <v>183598.01151673513</v>
      </c>
      <c r="L424" s="22">
        <f t="shared" si="34"/>
        <v>0.91070442220602743</v>
      </c>
    </row>
    <row r="425" spans="1:12" x14ac:dyDescent="0.3">
      <c r="A425" s="19">
        <v>6.1520000000000001</v>
      </c>
      <c r="B425" s="19">
        <v>26.45</v>
      </c>
      <c r="C425" s="20">
        <v>20.2</v>
      </c>
      <c r="D425" s="20">
        <v>182700</v>
      </c>
      <c r="E425" s="21">
        <f t="shared" si="30"/>
        <v>267317.82651673508</v>
      </c>
      <c r="G425" s="21">
        <f t="shared" si="31"/>
        <v>84617.826516735076</v>
      </c>
      <c r="H425" s="21">
        <f t="shared" si="32"/>
        <v>7160176564.4162741</v>
      </c>
      <c r="K425" s="21">
        <f t="shared" si="33"/>
        <v>84617.826516735076</v>
      </c>
      <c r="L425" s="22">
        <f t="shared" si="34"/>
        <v>0.46315175980697909</v>
      </c>
    </row>
    <row r="426" spans="1:12" x14ac:dyDescent="0.3">
      <c r="A426" s="19">
        <v>5.9349999999999996</v>
      </c>
      <c r="B426" s="19">
        <v>34.020000000000003</v>
      </c>
      <c r="C426" s="20">
        <v>20.2</v>
      </c>
      <c r="D426" s="20">
        <v>176400</v>
      </c>
      <c r="E426" s="21">
        <f t="shared" si="30"/>
        <v>166406.29151673493</v>
      </c>
      <c r="G426" s="21">
        <f t="shared" si="31"/>
        <v>-9993.7084832650726</v>
      </c>
      <c r="H426" s="21">
        <f t="shared" si="32"/>
        <v>99874209.248484284</v>
      </c>
      <c r="K426" s="21">
        <f t="shared" si="33"/>
        <v>9993.7084832650726</v>
      </c>
      <c r="L426" s="22">
        <f t="shared" si="34"/>
        <v>5.6653676208985669E-2</v>
      </c>
    </row>
    <row r="427" spans="1:12" x14ac:dyDescent="0.3">
      <c r="A427" s="19">
        <v>5.6269999999999998</v>
      </c>
      <c r="B427" s="19">
        <v>22.88</v>
      </c>
      <c r="C427" s="20">
        <v>20.2</v>
      </c>
      <c r="D427" s="20">
        <v>268800</v>
      </c>
      <c r="E427" s="21">
        <f t="shared" si="30"/>
        <v>260602.13151673513</v>
      </c>
      <c r="G427" s="21">
        <f t="shared" si="31"/>
        <v>-8197.8684832648723</v>
      </c>
      <c r="H427" s="21">
        <f t="shared" si="32"/>
        <v>67205047.668907493</v>
      </c>
      <c r="K427" s="21">
        <f t="shared" si="33"/>
        <v>8197.8684832648723</v>
      </c>
      <c r="L427" s="22">
        <f t="shared" si="34"/>
        <v>3.0498022631193722E-2</v>
      </c>
    </row>
    <row r="428" spans="1:12" x14ac:dyDescent="0.3">
      <c r="A428" s="19">
        <v>5.8179999999999996</v>
      </c>
      <c r="B428" s="19">
        <v>22.11</v>
      </c>
      <c r="C428" s="20">
        <v>20.2</v>
      </c>
      <c r="D428" s="20">
        <v>220500</v>
      </c>
      <c r="E428" s="21">
        <f t="shared" si="30"/>
        <v>285489.77651673503</v>
      </c>
      <c r="G428" s="21">
        <f t="shared" si="31"/>
        <v>64989.77651673503</v>
      </c>
      <c r="H428" s="21">
        <f t="shared" si="32"/>
        <v>4223671051.6951637</v>
      </c>
      <c r="K428" s="21">
        <f t="shared" si="33"/>
        <v>64989.77651673503</v>
      </c>
      <c r="L428" s="22">
        <f t="shared" si="34"/>
        <v>0.29473821549539697</v>
      </c>
    </row>
    <row r="429" spans="1:12" x14ac:dyDescent="0.3">
      <c r="A429" s="19">
        <v>6.4059999999999997</v>
      </c>
      <c r="B429" s="19">
        <v>19.52</v>
      </c>
      <c r="C429" s="20">
        <v>20.2</v>
      </c>
      <c r="D429" s="20">
        <v>359100</v>
      </c>
      <c r="E429" s="21">
        <f t="shared" si="30"/>
        <v>364488.90651673515</v>
      </c>
      <c r="G429" s="21">
        <f t="shared" si="31"/>
        <v>5388.9065167351509</v>
      </c>
      <c r="H429" s="21">
        <f t="shared" si="32"/>
        <v>29040313.446110576</v>
      </c>
      <c r="K429" s="21">
        <f t="shared" si="33"/>
        <v>5388.9065167351509</v>
      </c>
      <c r="L429" s="22">
        <f t="shared" si="34"/>
        <v>1.5006701522515041E-2</v>
      </c>
    </row>
    <row r="430" spans="1:12" x14ac:dyDescent="0.3">
      <c r="A430" s="19">
        <v>6.2190000000000003</v>
      </c>
      <c r="B430" s="19">
        <v>16.59</v>
      </c>
      <c r="C430" s="20">
        <v>20.2</v>
      </c>
      <c r="D430" s="20">
        <v>386400</v>
      </c>
      <c r="E430" s="21">
        <f t="shared" si="30"/>
        <v>380088.82151673507</v>
      </c>
      <c r="G430" s="21">
        <f t="shared" si="31"/>
        <v>-6311.1784832649282</v>
      </c>
      <c r="H430" s="21">
        <f t="shared" si="32"/>
        <v>39830973.847626202</v>
      </c>
      <c r="K430" s="21">
        <f t="shared" si="33"/>
        <v>6311.1784832649282</v>
      </c>
      <c r="L430" s="22">
        <f t="shared" si="34"/>
        <v>1.633327764820116E-2</v>
      </c>
    </row>
    <row r="431" spans="1:12" x14ac:dyDescent="0.3">
      <c r="A431" s="19">
        <v>6.4850000000000003</v>
      </c>
      <c r="B431" s="19">
        <v>18.850000000000001</v>
      </c>
      <c r="C431" s="20">
        <v>20.2</v>
      </c>
      <c r="D431" s="20">
        <v>323400</v>
      </c>
      <c r="E431" s="21">
        <f t="shared" si="30"/>
        <v>378596.37151673512</v>
      </c>
      <c r="G431" s="21">
        <f t="shared" si="31"/>
        <v>55196.371516735118</v>
      </c>
      <c r="H431" s="21">
        <f t="shared" si="32"/>
        <v>3046639428.6134477</v>
      </c>
      <c r="K431" s="21">
        <f t="shared" si="33"/>
        <v>55196.371516735118</v>
      </c>
      <c r="L431" s="22">
        <f t="shared" si="34"/>
        <v>0.17067523660091255</v>
      </c>
    </row>
    <row r="432" spans="1:12" x14ac:dyDescent="0.3">
      <c r="A432" s="19">
        <v>5.8540000000000001</v>
      </c>
      <c r="B432" s="19">
        <v>23.79</v>
      </c>
      <c r="C432" s="20">
        <v>20.2</v>
      </c>
      <c r="D432" s="20">
        <v>226800</v>
      </c>
      <c r="E432" s="21">
        <f t="shared" si="30"/>
        <v>270379.79651673505</v>
      </c>
      <c r="G432" s="21">
        <f t="shared" si="31"/>
        <v>43579.796516735048</v>
      </c>
      <c r="H432" s="21">
        <f t="shared" si="32"/>
        <v>1899198664.4400322</v>
      </c>
      <c r="K432" s="21">
        <f t="shared" si="33"/>
        <v>43579.796516735048</v>
      </c>
      <c r="L432" s="22">
        <f t="shared" si="34"/>
        <v>0.19215077829248259</v>
      </c>
    </row>
    <row r="433" spans="1:12" x14ac:dyDescent="0.3">
      <c r="A433" s="19">
        <v>6.4589999999999996</v>
      </c>
      <c r="B433" s="19">
        <v>23.98</v>
      </c>
      <c r="C433" s="20">
        <v>20.2</v>
      </c>
      <c r="D433" s="20">
        <v>247800</v>
      </c>
      <c r="E433" s="21">
        <f t="shared" si="30"/>
        <v>320690.31151673495</v>
      </c>
      <c r="G433" s="21">
        <f t="shared" si="31"/>
        <v>72890.311516734946</v>
      </c>
      <c r="H433" s="21">
        <f t="shared" si="32"/>
        <v>5312997513.0066633</v>
      </c>
      <c r="K433" s="21">
        <f t="shared" si="33"/>
        <v>72890.311516734946</v>
      </c>
      <c r="L433" s="22">
        <f t="shared" si="34"/>
        <v>0.29414976399005227</v>
      </c>
    </row>
    <row r="434" spans="1:12" x14ac:dyDescent="0.3">
      <c r="A434" s="19">
        <v>6.3410000000000002</v>
      </c>
      <c r="B434" s="19">
        <v>17.79</v>
      </c>
      <c r="C434" s="20">
        <v>20.2</v>
      </c>
      <c r="D434" s="20">
        <v>312900</v>
      </c>
      <c r="E434" s="21">
        <f t="shared" si="30"/>
        <v>377630.95151673508</v>
      </c>
      <c r="G434" s="21">
        <f t="shared" si="31"/>
        <v>64730.951516735076</v>
      </c>
      <c r="H434" s="21">
        <f t="shared" si="32"/>
        <v>4190096084.2619071</v>
      </c>
      <c r="K434" s="21">
        <f t="shared" si="33"/>
        <v>64730.951516735076</v>
      </c>
      <c r="L434" s="22">
        <f t="shared" si="34"/>
        <v>0.20687424581890404</v>
      </c>
    </row>
    <row r="435" spans="1:12" x14ac:dyDescent="0.3">
      <c r="A435" s="19">
        <v>6.2510000000000003</v>
      </c>
      <c r="B435" s="19">
        <v>16.440000000000001</v>
      </c>
      <c r="C435" s="20">
        <v>20.2</v>
      </c>
      <c r="D435" s="20">
        <v>264600</v>
      </c>
      <c r="E435" s="21">
        <f t="shared" si="30"/>
        <v>384486.25151673512</v>
      </c>
      <c r="G435" s="21">
        <f t="shared" si="31"/>
        <v>119886.25151673512</v>
      </c>
      <c r="H435" s="21">
        <f t="shared" si="32"/>
        <v>14372713302.733875</v>
      </c>
      <c r="K435" s="21">
        <f t="shared" si="33"/>
        <v>119886.25151673512</v>
      </c>
      <c r="L435" s="22">
        <f t="shared" si="34"/>
        <v>0.45308485078131189</v>
      </c>
    </row>
    <row r="436" spans="1:12" x14ac:dyDescent="0.3">
      <c r="A436" s="19">
        <v>6.1849999999999996</v>
      </c>
      <c r="B436" s="19">
        <v>18.13</v>
      </c>
      <c r="C436" s="20">
        <v>20.2</v>
      </c>
      <c r="D436" s="20">
        <v>296100</v>
      </c>
      <c r="E436" s="21">
        <f t="shared" si="30"/>
        <v>360438.15151673515</v>
      </c>
      <c r="G436" s="21">
        <f t="shared" si="31"/>
        <v>64338.151516735146</v>
      </c>
      <c r="H436" s="21">
        <f t="shared" si="32"/>
        <v>4139397740.5903692</v>
      </c>
      <c r="K436" s="21">
        <f t="shared" si="33"/>
        <v>64338.151516735146</v>
      </c>
      <c r="L436" s="22">
        <f t="shared" si="34"/>
        <v>0.21728521282247601</v>
      </c>
    </row>
    <row r="437" spans="1:12" x14ac:dyDescent="0.3">
      <c r="A437" s="19">
        <v>6.4169999999999998</v>
      </c>
      <c r="B437" s="19">
        <v>19.309999999999999</v>
      </c>
      <c r="C437" s="20">
        <v>20.2</v>
      </c>
      <c r="D437" s="20">
        <v>273000</v>
      </c>
      <c r="E437" s="21">
        <f t="shared" si="30"/>
        <v>367719.41151673504</v>
      </c>
      <c r="G437" s="21">
        <f t="shared" si="31"/>
        <v>94719.411516735039</v>
      </c>
      <c r="H437" s="21">
        <f t="shared" si="32"/>
        <v>8971766918.0765991</v>
      </c>
      <c r="K437" s="21">
        <f t="shared" si="33"/>
        <v>94719.411516735039</v>
      </c>
      <c r="L437" s="22">
        <f t="shared" si="34"/>
        <v>0.34695755134335177</v>
      </c>
    </row>
    <row r="438" spans="1:12" x14ac:dyDescent="0.3">
      <c r="A438" s="19">
        <v>6.7489999999999997</v>
      </c>
      <c r="B438" s="19">
        <v>17.440000000000001</v>
      </c>
      <c r="C438" s="20">
        <v>20.2</v>
      </c>
      <c r="D438" s="20">
        <v>281400</v>
      </c>
      <c r="E438" s="21">
        <f t="shared" si="30"/>
        <v>416746.621516735</v>
      </c>
      <c r="G438" s="21">
        <f t="shared" si="31"/>
        <v>135346.621516735</v>
      </c>
      <c r="H438" s="21">
        <f t="shared" si="32"/>
        <v>18318707955.994316</v>
      </c>
      <c r="K438" s="21">
        <f t="shared" si="33"/>
        <v>135346.621516735</v>
      </c>
      <c r="L438" s="22">
        <f t="shared" si="34"/>
        <v>0.48097591157332981</v>
      </c>
    </row>
    <row r="439" spans="1:12" x14ac:dyDescent="0.3">
      <c r="A439" s="19">
        <v>6.6550000000000002</v>
      </c>
      <c r="B439" s="19">
        <v>17.73</v>
      </c>
      <c r="C439" s="20">
        <v>20.2</v>
      </c>
      <c r="D439" s="20">
        <v>319200</v>
      </c>
      <c r="E439" s="21">
        <f t="shared" si="30"/>
        <v>405463.30151673517</v>
      </c>
      <c r="G439" s="21">
        <f t="shared" si="31"/>
        <v>86263.30151673517</v>
      </c>
      <c r="H439" s="21">
        <f t="shared" si="32"/>
        <v>7441357188.5671644</v>
      </c>
      <c r="K439" s="21">
        <f t="shared" si="33"/>
        <v>86263.30151673517</v>
      </c>
      <c r="L439" s="22">
        <f t="shared" si="34"/>
        <v>0.2702484383356365</v>
      </c>
    </row>
    <row r="440" spans="1:12" x14ac:dyDescent="0.3">
      <c r="A440" s="19">
        <v>6.2969999999999997</v>
      </c>
      <c r="B440" s="19">
        <v>17.27</v>
      </c>
      <c r="C440" s="20">
        <v>20.2</v>
      </c>
      <c r="D440" s="20">
        <v>338100</v>
      </c>
      <c r="E440" s="21">
        <f t="shared" si="30"/>
        <v>379463.57151673496</v>
      </c>
      <c r="G440" s="21">
        <f t="shared" si="31"/>
        <v>41363.571516734955</v>
      </c>
      <c r="H440" s="21">
        <f t="shared" si="32"/>
        <v>1710945048.6200473</v>
      </c>
      <c r="K440" s="21">
        <f t="shared" si="33"/>
        <v>41363.571516734955</v>
      </c>
      <c r="L440" s="22">
        <f t="shared" si="34"/>
        <v>0.12234123489125985</v>
      </c>
    </row>
    <row r="441" spans="1:12" x14ac:dyDescent="0.3">
      <c r="A441" s="19">
        <v>7.3929999999999998</v>
      </c>
      <c r="B441" s="19">
        <v>16.739999999999998</v>
      </c>
      <c r="C441" s="20">
        <v>20.2</v>
      </c>
      <c r="D441" s="20">
        <v>373800</v>
      </c>
      <c r="E441" s="21">
        <f t="shared" si="30"/>
        <v>480088.78151673492</v>
      </c>
      <c r="G441" s="21">
        <f t="shared" si="31"/>
        <v>106288.78151673492</v>
      </c>
      <c r="H441" s="21">
        <f t="shared" si="32"/>
        <v>11297305076.31221</v>
      </c>
      <c r="K441" s="21">
        <f t="shared" si="33"/>
        <v>106288.78151673492</v>
      </c>
      <c r="L441" s="22">
        <f t="shared" si="34"/>
        <v>0.28434666002336789</v>
      </c>
    </row>
    <row r="442" spans="1:12" x14ac:dyDescent="0.3">
      <c r="A442" s="19">
        <v>6.7279999999999998</v>
      </c>
      <c r="B442" s="19">
        <v>18.71</v>
      </c>
      <c r="C442" s="20">
        <v>20.2</v>
      </c>
      <c r="D442" s="20">
        <v>312900</v>
      </c>
      <c r="E442" s="21">
        <f t="shared" si="30"/>
        <v>401150.52651673503</v>
      </c>
      <c r="G442" s="21">
        <f t="shared" si="31"/>
        <v>88250.52651673503</v>
      </c>
      <c r="H442" s="21">
        <f t="shared" si="32"/>
        <v>7788155430.4809523</v>
      </c>
      <c r="K442" s="21">
        <f t="shared" si="33"/>
        <v>88250.52651673503</v>
      </c>
      <c r="L442" s="22">
        <f t="shared" si="34"/>
        <v>0.28204067279237788</v>
      </c>
    </row>
    <row r="443" spans="1:12" x14ac:dyDescent="0.3">
      <c r="A443" s="19">
        <v>6.5250000000000004</v>
      </c>
      <c r="B443" s="19">
        <v>18.13</v>
      </c>
      <c r="C443" s="20">
        <v>20.2</v>
      </c>
      <c r="D443" s="20">
        <v>296100</v>
      </c>
      <c r="E443" s="21">
        <f t="shared" si="30"/>
        <v>389870.25151673501</v>
      </c>
      <c r="G443" s="21">
        <f t="shared" si="31"/>
        <v>93770.251516735007</v>
      </c>
      <c r="H443" s="21">
        <f t="shared" si="32"/>
        <v>8792860069.5117435</v>
      </c>
      <c r="K443" s="21">
        <f t="shared" si="33"/>
        <v>93770.251516735007</v>
      </c>
      <c r="L443" s="22">
        <f t="shared" si="34"/>
        <v>0.31668440228549477</v>
      </c>
    </row>
    <row r="444" spans="1:12" x14ac:dyDescent="0.3">
      <c r="A444" s="19">
        <v>5.976</v>
      </c>
      <c r="B444" s="19">
        <v>19.010000000000002</v>
      </c>
      <c r="C444" s="20">
        <v>20.2</v>
      </c>
      <c r="D444" s="20">
        <v>266700</v>
      </c>
      <c r="E444" s="21">
        <f t="shared" si="30"/>
        <v>332798.94651673507</v>
      </c>
      <c r="G444" s="21">
        <f t="shared" si="31"/>
        <v>66098.946516735072</v>
      </c>
      <c r="H444" s="21">
        <f t="shared" si="32"/>
        <v>4369070730.6222038</v>
      </c>
      <c r="K444" s="21">
        <f t="shared" si="33"/>
        <v>66098.946516735072</v>
      </c>
      <c r="L444" s="22">
        <f t="shared" si="34"/>
        <v>0.24784006942907788</v>
      </c>
    </row>
    <row r="445" spans="1:12" x14ac:dyDescent="0.3">
      <c r="A445" s="19">
        <v>5.9359999999999999</v>
      </c>
      <c r="B445" s="19">
        <v>16.940000000000001</v>
      </c>
      <c r="C445" s="20">
        <v>20.2</v>
      </c>
      <c r="D445" s="20">
        <v>283500</v>
      </c>
      <c r="E445" s="21">
        <f t="shared" si="30"/>
        <v>351793.77651673503</v>
      </c>
      <c r="G445" s="21">
        <f t="shared" si="31"/>
        <v>68293.77651673503</v>
      </c>
      <c r="H445" s="21">
        <f t="shared" si="32"/>
        <v>4664039910.9177494</v>
      </c>
      <c r="K445" s="21">
        <f t="shared" si="33"/>
        <v>68293.77651673503</v>
      </c>
      <c r="L445" s="22">
        <f t="shared" si="34"/>
        <v>0.24089515526185196</v>
      </c>
    </row>
    <row r="446" spans="1:12" x14ac:dyDescent="0.3">
      <c r="A446" s="19">
        <v>6.3010000000000002</v>
      </c>
      <c r="B446" s="19">
        <v>16.23</v>
      </c>
      <c r="C446" s="20">
        <v>20.2</v>
      </c>
      <c r="D446" s="20">
        <v>312900</v>
      </c>
      <c r="E446" s="21">
        <f t="shared" si="30"/>
        <v>391092.79151673516</v>
      </c>
      <c r="G446" s="21">
        <f t="shared" si="31"/>
        <v>78192.79151673516</v>
      </c>
      <c r="H446" s="21">
        <f t="shared" si="32"/>
        <v>6114112645.1796103</v>
      </c>
      <c r="K446" s="21">
        <f t="shared" si="33"/>
        <v>78192.79151673516</v>
      </c>
      <c r="L446" s="22">
        <f t="shared" si="34"/>
        <v>0.24989706461085062</v>
      </c>
    </row>
    <row r="447" spans="1:12" x14ac:dyDescent="0.3">
      <c r="A447" s="19">
        <v>6.0810000000000004</v>
      </c>
      <c r="B447" s="19">
        <v>14.7</v>
      </c>
      <c r="C447" s="20">
        <v>20.2</v>
      </c>
      <c r="D447" s="20">
        <v>420000</v>
      </c>
      <c r="E447" s="21">
        <f t="shared" si="30"/>
        <v>388647.46151673509</v>
      </c>
      <c r="G447" s="21">
        <f t="shared" si="31"/>
        <v>-31352.538483264914</v>
      </c>
      <c r="H447" s="21">
        <f t="shared" si="32"/>
        <v>982981669.34460735</v>
      </c>
      <c r="K447" s="21">
        <f t="shared" si="33"/>
        <v>31352.538483264914</v>
      </c>
      <c r="L447" s="22">
        <f t="shared" si="34"/>
        <v>7.4648901150630748E-2</v>
      </c>
    </row>
    <row r="448" spans="1:12" x14ac:dyDescent="0.3">
      <c r="A448" s="19">
        <v>6.7009999999999996</v>
      </c>
      <c r="B448" s="19">
        <v>16.420000000000002</v>
      </c>
      <c r="C448" s="20">
        <v>20.2</v>
      </c>
      <c r="D448" s="20">
        <v>344400</v>
      </c>
      <c r="E448" s="21">
        <f t="shared" si="30"/>
        <v>423657.48151673487</v>
      </c>
      <c r="G448" s="21">
        <f t="shared" si="31"/>
        <v>79257.481516734872</v>
      </c>
      <c r="H448" s="21">
        <f t="shared" si="32"/>
        <v>6281748376.3755693</v>
      </c>
      <c r="K448" s="21">
        <f t="shared" si="33"/>
        <v>79257.481516734872</v>
      </c>
      <c r="L448" s="22">
        <f t="shared" si="34"/>
        <v>0.23013206015312099</v>
      </c>
    </row>
    <row r="449" spans="1:12" x14ac:dyDescent="0.3">
      <c r="A449" s="19">
        <v>6.3760000000000003</v>
      </c>
      <c r="B449" s="19">
        <v>14.65</v>
      </c>
      <c r="C449" s="20">
        <v>20.2</v>
      </c>
      <c r="D449" s="20">
        <v>371700</v>
      </c>
      <c r="E449" s="21">
        <f t="shared" si="30"/>
        <v>414726.5865167352</v>
      </c>
      <c r="G449" s="21">
        <f t="shared" si="31"/>
        <v>43026.586516735202</v>
      </c>
      <c r="H449" s="21">
        <f t="shared" si="32"/>
        <v>1851287147.2820995</v>
      </c>
      <c r="K449" s="21">
        <f t="shared" si="33"/>
        <v>43026.586516735202</v>
      </c>
      <c r="L449" s="22">
        <f t="shared" si="34"/>
        <v>0.11575621876980145</v>
      </c>
    </row>
    <row r="450" spans="1:12" x14ac:dyDescent="0.3">
      <c r="A450" s="19">
        <v>6.3170000000000002</v>
      </c>
      <c r="B450" s="19">
        <v>13.99</v>
      </c>
      <c r="C450" s="20">
        <v>20.2</v>
      </c>
      <c r="D450" s="20">
        <v>409500</v>
      </c>
      <c r="E450" s="21">
        <f t="shared" si="30"/>
        <v>416779.59151673497</v>
      </c>
      <c r="G450" s="21">
        <f t="shared" si="31"/>
        <v>7279.591516734974</v>
      </c>
      <c r="H450" s="21">
        <f t="shared" si="32"/>
        <v>52992452.650519796</v>
      </c>
      <c r="K450" s="21">
        <f t="shared" si="33"/>
        <v>7279.591516734974</v>
      </c>
      <c r="L450" s="22">
        <f t="shared" si="34"/>
        <v>1.7776780260647069E-2</v>
      </c>
    </row>
    <row r="451" spans="1:12" x14ac:dyDescent="0.3">
      <c r="A451" s="19">
        <v>6.5129999999999999</v>
      </c>
      <c r="B451" s="19">
        <v>10.29</v>
      </c>
      <c r="C451" s="20">
        <v>20.2</v>
      </c>
      <c r="D451" s="20">
        <v>424200</v>
      </c>
      <c r="E451" s="21">
        <f t="shared" si="30"/>
        <v>473887.63151673501</v>
      </c>
      <c r="G451" s="21">
        <f t="shared" si="31"/>
        <v>49687.631516735011</v>
      </c>
      <c r="H451" s="21">
        <f t="shared" si="32"/>
        <v>2468860725.7428384</v>
      </c>
      <c r="K451" s="21">
        <f t="shared" si="33"/>
        <v>49687.631516735011</v>
      </c>
      <c r="L451" s="22">
        <f t="shared" si="34"/>
        <v>0.11713255897391563</v>
      </c>
    </row>
    <row r="452" spans="1:12" x14ac:dyDescent="0.3">
      <c r="A452" s="19">
        <v>6.2089999999999996</v>
      </c>
      <c r="B452" s="19">
        <v>13.22</v>
      </c>
      <c r="C452" s="20">
        <v>20.2</v>
      </c>
      <c r="D452" s="20">
        <v>449400</v>
      </c>
      <c r="E452" s="21">
        <f t="shared" si="30"/>
        <v>415784.30151673494</v>
      </c>
      <c r="G452" s="21">
        <f t="shared" si="31"/>
        <v>-33615.698483265063</v>
      </c>
      <c r="H452" s="21">
        <f t="shared" si="32"/>
        <v>1130015184.5177891</v>
      </c>
      <c r="K452" s="21">
        <f t="shared" si="33"/>
        <v>33615.698483265063</v>
      </c>
      <c r="L452" s="22">
        <f t="shared" si="34"/>
        <v>7.4801287234679714E-2</v>
      </c>
    </row>
    <row r="453" spans="1:12" x14ac:dyDescent="0.3">
      <c r="A453" s="19">
        <v>5.7590000000000003</v>
      </c>
      <c r="B453" s="19">
        <v>14.13</v>
      </c>
      <c r="C453" s="20">
        <v>20.2</v>
      </c>
      <c r="D453" s="20">
        <v>417900</v>
      </c>
      <c r="E453" s="21">
        <f t="shared" si="30"/>
        <v>366957.46151673509</v>
      </c>
      <c r="G453" s="21">
        <f t="shared" si="31"/>
        <v>-50942.538483264914</v>
      </c>
      <c r="H453" s="21">
        <f t="shared" si="32"/>
        <v>2595142227.1189265</v>
      </c>
      <c r="K453" s="21">
        <f t="shared" si="33"/>
        <v>50942.538483264914</v>
      </c>
      <c r="L453" s="22">
        <f t="shared" si="34"/>
        <v>0.12190126461657075</v>
      </c>
    </row>
    <row r="454" spans="1:12" x14ac:dyDescent="0.3">
      <c r="A454" s="19">
        <v>5.952</v>
      </c>
      <c r="B454" s="19">
        <v>17.149999999999999</v>
      </c>
      <c r="C454" s="20">
        <v>20.2</v>
      </c>
      <c r="D454" s="20">
        <v>399000</v>
      </c>
      <c r="E454" s="21">
        <f t="shared" ref="E454:E493" si="35">415464.396516735+86565*(A454)-10849*(B454)-19492*(C454)</f>
        <v>350900.52651673515</v>
      </c>
      <c r="G454" s="21">
        <f t="shared" ref="G454:G493" si="36">E454-D454</f>
        <v>-48099.473483264854</v>
      </c>
      <c r="H454" s="21">
        <f t="shared" ref="H454:H493" si="37">G454^2</f>
        <v>2313559349.3672986</v>
      </c>
      <c r="K454" s="21">
        <f t="shared" ref="K454:K493" si="38">ABS(G454)</f>
        <v>48099.473483264854</v>
      </c>
      <c r="L454" s="22">
        <f t="shared" ref="L454:L493" si="39">ABS(G454/D454)</f>
        <v>0.12055005885530039</v>
      </c>
    </row>
    <row r="455" spans="1:12" x14ac:dyDescent="0.3">
      <c r="A455" s="19">
        <v>6.0030000000000001</v>
      </c>
      <c r="B455" s="19">
        <v>21.32</v>
      </c>
      <c r="C455" s="20">
        <v>20.2</v>
      </c>
      <c r="D455" s="20">
        <v>401100</v>
      </c>
      <c r="E455" s="21">
        <f t="shared" si="35"/>
        <v>310075.01151673513</v>
      </c>
      <c r="G455" s="21">
        <f t="shared" si="36"/>
        <v>-91024.988483264868</v>
      </c>
      <c r="H455" s="21">
        <f t="shared" si="37"/>
        <v>8285548528.3785019</v>
      </c>
      <c r="K455" s="21">
        <f t="shared" si="38"/>
        <v>91024.988483264868</v>
      </c>
      <c r="L455" s="22">
        <f t="shared" si="39"/>
        <v>0.22693839063391888</v>
      </c>
    </row>
    <row r="456" spans="1:12" x14ac:dyDescent="0.3">
      <c r="A456" s="19">
        <v>5.9260000000000002</v>
      </c>
      <c r="B456" s="19">
        <v>18.13</v>
      </c>
      <c r="C456" s="20">
        <v>20.2</v>
      </c>
      <c r="D456" s="20">
        <v>401100</v>
      </c>
      <c r="E456" s="21">
        <f t="shared" si="35"/>
        <v>338017.81651673507</v>
      </c>
      <c r="G456" s="21">
        <f t="shared" si="36"/>
        <v>-63082.183483264933</v>
      </c>
      <c r="H456" s="21">
        <f t="shared" si="37"/>
        <v>3979361873.0163031</v>
      </c>
      <c r="K456" s="21">
        <f t="shared" si="38"/>
        <v>63082.183483264933</v>
      </c>
      <c r="L456" s="22">
        <f t="shared" si="39"/>
        <v>0.15727295807346031</v>
      </c>
    </row>
    <row r="457" spans="1:12" x14ac:dyDescent="0.3">
      <c r="A457" s="19">
        <v>5.7130000000000001</v>
      </c>
      <c r="B457" s="19">
        <v>14.76</v>
      </c>
      <c r="C457" s="20">
        <v>20.2</v>
      </c>
      <c r="D457" s="20">
        <v>422100</v>
      </c>
      <c r="E457" s="21">
        <f t="shared" si="35"/>
        <v>356140.6015167351</v>
      </c>
      <c r="G457" s="21">
        <f t="shared" si="36"/>
        <v>-65959.3984832649</v>
      </c>
      <c r="H457" s="21">
        <f t="shared" si="37"/>
        <v>4350642248.274128</v>
      </c>
      <c r="K457" s="21">
        <f t="shared" si="38"/>
        <v>65959.3984832649</v>
      </c>
      <c r="L457" s="22">
        <f t="shared" si="39"/>
        <v>0.15626486255215566</v>
      </c>
    </row>
    <row r="458" spans="1:12" x14ac:dyDescent="0.3">
      <c r="A458" s="19">
        <v>6.1669999999999998</v>
      </c>
      <c r="B458" s="19">
        <v>16.29</v>
      </c>
      <c r="C458" s="20">
        <v>20.2</v>
      </c>
      <c r="D458" s="20">
        <v>417900</v>
      </c>
      <c r="E458" s="21">
        <f t="shared" si="35"/>
        <v>378842.14151673502</v>
      </c>
      <c r="G458" s="21">
        <f t="shared" si="36"/>
        <v>-39057.858483264979</v>
      </c>
      <c r="H458" s="21">
        <f t="shared" si="37"/>
        <v>1525516309.2987542</v>
      </c>
      <c r="K458" s="21">
        <f t="shared" si="38"/>
        <v>39057.858483264979</v>
      </c>
      <c r="L458" s="22">
        <f t="shared" si="39"/>
        <v>9.3462212211689349E-2</v>
      </c>
    </row>
    <row r="459" spans="1:12" x14ac:dyDescent="0.3">
      <c r="A459" s="19">
        <v>6.2290000000000001</v>
      </c>
      <c r="B459" s="19">
        <v>12.87</v>
      </c>
      <c r="C459" s="20">
        <v>20.2</v>
      </c>
      <c r="D459" s="20">
        <v>411600</v>
      </c>
      <c r="E459" s="21">
        <f t="shared" si="35"/>
        <v>421312.75151673501</v>
      </c>
      <c r="G459" s="21">
        <f t="shared" si="36"/>
        <v>9712.7515167350066</v>
      </c>
      <c r="H459" s="21">
        <f t="shared" si="37"/>
        <v>94337542.025838166</v>
      </c>
      <c r="K459" s="21">
        <f t="shared" si="38"/>
        <v>9712.7515167350066</v>
      </c>
      <c r="L459" s="22">
        <f t="shared" si="39"/>
        <v>2.3597549846294964E-2</v>
      </c>
    </row>
    <row r="460" spans="1:12" x14ac:dyDescent="0.3">
      <c r="A460" s="19">
        <v>6.4370000000000003</v>
      </c>
      <c r="B460" s="19">
        <v>14.36</v>
      </c>
      <c r="C460" s="20">
        <v>20.2</v>
      </c>
      <c r="D460" s="20">
        <v>487200</v>
      </c>
      <c r="E460" s="21">
        <f t="shared" si="35"/>
        <v>423153.26151673502</v>
      </c>
      <c r="G460" s="21">
        <f t="shared" si="36"/>
        <v>-64046.738483264984</v>
      </c>
      <c r="H460" s="21">
        <f t="shared" si="37"/>
        <v>4101984710.3437357</v>
      </c>
      <c r="K460" s="21">
        <f t="shared" si="38"/>
        <v>64046.738483264984</v>
      </c>
      <c r="L460" s="22">
        <f t="shared" si="39"/>
        <v>0.13145882283100366</v>
      </c>
    </row>
    <row r="461" spans="1:12" x14ac:dyDescent="0.3">
      <c r="A461" s="19">
        <v>6.98</v>
      </c>
      <c r="B461" s="19">
        <v>11.66</v>
      </c>
      <c r="C461" s="20">
        <v>20.2</v>
      </c>
      <c r="D461" s="20">
        <v>625800</v>
      </c>
      <c r="E461" s="21">
        <f t="shared" si="35"/>
        <v>499450.35651673522</v>
      </c>
      <c r="G461" s="21">
        <f t="shared" si="36"/>
        <v>-126349.64348326478</v>
      </c>
      <c r="H461" s="21">
        <f t="shared" si="37"/>
        <v>15964232408.348114</v>
      </c>
      <c r="K461" s="21">
        <f t="shared" si="38"/>
        <v>126349.64348326478</v>
      </c>
      <c r="L461" s="22">
        <f t="shared" si="39"/>
        <v>0.20190099629796227</v>
      </c>
    </row>
    <row r="462" spans="1:12" x14ac:dyDescent="0.3">
      <c r="A462" s="19">
        <v>5.4269999999999996</v>
      </c>
      <c r="B462" s="19">
        <v>18.14</v>
      </c>
      <c r="C462" s="20">
        <v>20.2</v>
      </c>
      <c r="D462" s="20">
        <v>289800</v>
      </c>
      <c r="E462" s="21">
        <f t="shared" si="35"/>
        <v>294713.39151673502</v>
      </c>
      <c r="G462" s="21">
        <f t="shared" si="36"/>
        <v>4913.3915167350206</v>
      </c>
      <c r="H462" s="21">
        <f t="shared" si="37"/>
        <v>24141416.196723666</v>
      </c>
      <c r="K462" s="21">
        <f t="shared" si="38"/>
        <v>4913.3915167350206</v>
      </c>
      <c r="L462" s="22">
        <f t="shared" si="39"/>
        <v>1.6954422072929676E-2</v>
      </c>
    </row>
    <row r="463" spans="1:12" x14ac:dyDescent="0.3">
      <c r="A463" s="19">
        <v>6.1619999999999999</v>
      </c>
      <c r="B463" s="19">
        <v>24.1</v>
      </c>
      <c r="C463" s="20">
        <v>20.2</v>
      </c>
      <c r="D463" s="20">
        <v>279300</v>
      </c>
      <c r="E463" s="21">
        <f t="shared" si="35"/>
        <v>293678.62651673501</v>
      </c>
      <c r="G463" s="21">
        <f t="shared" si="36"/>
        <v>14378.626516735007</v>
      </c>
      <c r="H463" s="21">
        <f t="shared" si="37"/>
        <v>206744900.50775507</v>
      </c>
      <c r="K463" s="21">
        <f t="shared" si="38"/>
        <v>14378.626516735007</v>
      </c>
      <c r="L463" s="22">
        <f t="shared" si="39"/>
        <v>5.1480939909541737E-2</v>
      </c>
    </row>
    <row r="464" spans="1:12" x14ac:dyDescent="0.3">
      <c r="A464" s="19">
        <v>6.484</v>
      </c>
      <c r="B464" s="19">
        <v>18.68</v>
      </c>
      <c r="C464" s="20">
        <v>20.2</v>
      </c>
      <c r="D464" s="20">
        <v>350700</v>
      </c>
      <c r="E464" s="21">
        <f t="shared" si="35"/>
        <v>380354.1365167349</v>
      </c>
      <c r="G464" s="21">
        <f t="shared" si="36"/>
        <v>29654.136516734899</v>
      </c>
      <c r="H464" s="21">
        <f t="shared" si="37"/>
        <v>879367812.5531503</v>
      </c>
      <c r="K464" s="21">
        <f t="shared" si="38"/>
        <v>29654.136516734899</v>
      </c>
      <c r="L464" s="22">
        <f t="shared" si="39"/>
        <v>8.4556990352822645E-2</v>
      </c>
    </row>
    <row r="465" spans="1:12" x14ac:dyDescent="0.3">
      <c r="A465" s="19">
        <v>5.3040000000000003</v>
      </c>
      <c r="B465" s="19">
        <v>24.91</v>
      </c>
      <c r="C465" s="20">
        <v>20.2</v>
      </c>
      <c r="D465" s="20">
        <v>252000</v>
      </c>
      <c r="E465" s="21">
        <f t="shared" si="35"/>
        <v>210618.16651673493</v>
      </c>
      <c r="G465" s="21">
        <f t="shared" si="36"/>
        <v>-41381.833483265073</v>
      </c>
      <c r="H465" s="21">
        <f t="shared" si="37"/>
        <v>1712456142.4366782</v>
      </c>
      <c r="K465" s="21">
        <f t="shared" si="38"/>
        <v>41381.833483265073</v>
      </c>
      <c r="L465" s="22">
        <f t="shared" si="39"/>
        <v>0.16421362493359157</v>
      </c>
    </row>
    <row r="466" spans="1:12" x14ac:dyDescent="0.3">
      <c r="A466" s="19">
        <v>6.1849999999999996</v>
      </c>
      <c r="B466" s="19">
        <v>18.03</v>
      </c>
      <c r="C466" s="20">
        <v>20.2</v>
      </c>
      <c r="D466" s="20">
        <v>306600</v>
      </c>
      <c r="E466" s="21">
        <f t="shared" si="35"/>
        <v>361523.05151673517</v>
      </c>
      <c r="G466" s="21">
        <f t="shared" si="36"/>
        <v>54923.05151673517</v>
      </c>
      <c r="H466" s="21">
        <f t="shared" si="37"/>
        <v>3016541587.9099455</v>
      </c>
      <c r="K466" s="21">
        <f t="shared" si="38"/>
        <v>54923.05151673517</v>
      </c>
      <c r="L466" s="22">
        <f t="shared" si="39"/>
        <v>0.17913584969580942</v>
      </c>
    </row>
    <row r="467" spans="1:12" x14ac:dyDescent="0.3">
      <c r="A467" s="19">
        <v>6.2290000000000001</v>
      </c>
      <c r="B467" s="19">
        <v>13.11</v>
      </c>
      <c r="C467" s="20">
        <v>20.2</v>
      </c>
      <c r="D467" s="20">
        <v>449400</v>
      </c>
      <c r="E467" s="21">
        <f t="shared" si="35"/>
        <v>418708.991516735</v>
      </c>
      <c r="G467" s="21">
        <f t="shared" si="36"/>
        <v>-30691.008483265003</v>
      </c>
      <c r="H467" s="21">
        <f t="shared" si="37"/>
        <v>941938001.71984434</v>
      </c>
      <c r="K467" s="21">
        <f t="shared" si="38"/>
        <v>30691.008483265003</v>
      </c>
      <c r="L467" s="22">
        <f t="shared" si="39"/>
        <v>6.8293298805663108E-2</v>
      </c>
    </row>
    <row r="468" spans="1:12" x14ac:dyDescent="0.3">
      <c r="A468" s="19">
        <v>6.242</v>
      </c>
      <c r="B468" s="19">
        <v>10.74</v>
      </c>
      <c r="C468" s="20">
        <v>20.2</v>
      </c>
      <c r="D468" s="20">
        <v>483000</v>
      </c>
      <c r="E468" s="21">
        <f t="shared" si="35"/>
        <v>445546.46651673497</v>
      </c>
      <c r="G468" s="21">
        <f t="shared" si="36"/>
        <v>-37453.533483265026</v>
      </c>
      <c r="H468" s="21">
        <f t="shared" si="37"/>
        <v>1402767170.3820543</v>
      </c>
      <c r="K468" s="21">
        <f t="shared" si="38"/>
        <v>37453.533483265026</v>
      </c>
      <c r="L468" s="22">
        <f t="shared" si="39"/>
        <v>7.7543547584399644E-2</v>
      </c>
    </row>
    <row r="469" spans="1:12" x14ac:dyDescent="0.3">
      <c r="A469" s="19">
        <v>6.75</v>
      </c>
      <c r="B469" s="19">
        <v>7.74</v>
      </c>
      <c r="C469" s="20">
        <v>20.2</v>
      </c>
      <c r="D469" s="20">
        <v>497700</v>
      </c>
      <c r="E469" s="21">
        <f t="shared" si="35"/>
        <v>522068.48651673499</v>
      </c>
      <c r="G469" s="21">
        <f t="shared" si="36"/>
        <v>24368.486516734993</v>
      </c>
      <c r="H469" s="21">
        <f t="shared" si="37"/>
        <v>593823135.1162951</v>
      </c>
      <c r="K469" s="21">
        <f t="shared" si="38"/>
        <v>24368.486516734993</v>
      </c>
      <c r="L469" s="22">
        <f t="shared" si="39"/>
        <v>4.8962199149557954E-2</v>
      </c>
    </row>
    <row r="470" spans="1:12" x14ac:dyDescent="0.3">
      <c r="A470" s="19">
        <v>7.0609999999999999</v>
      </c>
      <c r="B470" s="19">
        <v>7.01</v>
      </c>
      <c r="C470" s="20">
        <v>20.2</v>
      </c>
      <c r="D470" s="20">
        <v>525000</v>
      </c>
      <c r="E470" s="21">
        <f t="shared" si="35"/>
        <v>556909.97151673515</v>
      </c>
      <c r="G470" s="21">
        <f t="shared" si="36"/>
        <v>31909.971516735153</v>
      </c>
      <c r="H470" s="21">
        <f t="shared" si="37"/>
        <v>1018246282.1988487</v>
      </c>
      <c r="K470" s="21">
        <f t="shared" si="38"/>
        <v>31909.971516735153</v>
      </c>
      <c r="L470" s="22">
        <f t="shared" si="39"/>
        <v>6.0780898127114576E-2</v>
      </c>
    </row>
    <row r="471" spans="1:12" x14ac:dyDescent="0.3">
      <c r="A471" s="19">
        <v>5.7619999999999996</v>
      </c>
      <c r="B471" s="19">
        <v>10.42</v>
      </c>
      <c r="C471" s="20">
        <v>20.2</v>
      </c>
      <c r="D471" s="20">
        <v>457800</v>
      </c>
      <c r="E471" s="21">
        <f t="shared" si="35"/>
        <v>407466.94651673507</v>
      </c>
      <c r="G471" s="21">
        <f t="shared" si="36"/>
        <v>-50333.053483264928</v>
      </c>
      <c r="H471" s="21">
        <f t="shared" si="37"/>
        <v>2533416272.9492078</v>
      </c>
      <c r="K471" s="21">
        <f t="shared" si="38"/>
        <v>50333.053483264928</v>
      </c>
      <c r="L471" s="22">
        <f t="shared" si="39"/>
        <v>0.10994550782714052</v>
      </c>
    </row>
    <row r="472" spans="1:12" x14ac:dyDescent="0.3">
      <c r="A472" s="19">
        <v>5.8710000000000004</v>
      </c>
      <c r="B472" s="19">
        <v>13.34</v>
      </c>
      <c r="C472" s="20">
        <v>20.2</v>
      </c>
      <c r="D472" s="20">
        <v>432600</v>
      </c>
      <c r="E472" s="21">
        <f t="shared" si="35"/>
        <v>385223.45151673508</v>
      </c>
      <c r="G472" s="21">
        <f t="shared" si="36"/>
        <v>-47376.548483264924</v>
      </c>
      <c r="H472" s="21">
        <f t="shared" si="37"/>
        <v>2244537346.1871519</v>
      </c>
      <c r="K472" s="21">
        <f t="shared" si="38"/>
        <v>47376.548483264924</v>
      </c>
      <c r="L472" s="22">
        <f t="shared" si="39"/>
        <v>0.10951583098304421</v>
      </c>
    </row>
    <row r="473" spans="1:12" x14ac:dyDescent="0.3">
      <c r="A473" s="19">
        <v>6.3120000000000003</v>
      </c>
      <c r="B473" s="19">
        <v>10.58</v>
      </c>
      <c r="C473" s="20">
        <v>20.2</v>
      </c>
      <c r="D473" s="20">
        <v>445200</v>
      </c>
      <c r="E473" s="21">
        <f t="shared" si="35"/>
        <v>453341.85651673499</v>
      </c>
      <c r="G473" s="21">
        <f t="shared" si="36"/>
        <v>8141.856516734988</v>
      </c>
      <c r="H473" s="21">
        <f t="shared" si="37"/>
        <v>66289827.539099991</v>
      </c>
      <c r="K473" s="21">
        <f t="shared" si="38"/>
        <v>8141.856516734988</v>
      </c>
      <c r="L473" s="22">
        <f t="shared" si="39"/>
        <v>1.8288087414049838E-2</v>
      </c>
    </row>
    <row r="474" spans="1:12" x14ac:dyDescent="0.3">
      <c r="A474" s="19">
        <v>6.1139999999999999</v>
      </c>
      <c r="B474" s="19">
        <v>14.98</v>
      </c>
      <c r="C474" s="20">
        <v>20.2</v>
      </c>
      <c r="D474" s="20">
        <v>401100</v>
      </c>
      <c r="E474" s="21">
        <f t="shared" si="35"/>
        <v>388466.38651673513</v>
      </c>
      <c r="G474" s="21">
        <f t="shared" si="36"/>
        <v>-12633.613483264868</v>
      </c>
      <c r="H474" s="21">
        <f t="shared" si="37"/>
        <v>159608189.64453188</v>
      </c>
      <c r="K474" s="21">
        <f t="shared" si="38"/>
        <v>12633.613483264868</v>
      </c>
      <c r="L474" s="22">
        <f t="shared" si="39"/>
        <v>3.1497415814671824E-2</v>
      </c>
    </row>
    <row r="475" spans="1:12" x14ac:dyDescent="0.3">
      <c r="A475" s="19">
        <v>5.9050000000000002</v>
      </c>
      <c r="B475" s="19">
        <v>11.45</v>
      </c>
      <c r="C475" s="20">
        <v>20.2</v>
      </c>
      <c r="D475" s="20">
        <v>432600</v>
      </c>
      <c r="E475" s="21">
        <f t="shared" si="35"/>
        <v>408671.27151673514</v>
      </c>
      <c r="G475" s="21">
        <f t="shared" si="36"/>
        <v>-23928.728483264858</v>
      </c>
      <c r="H475" s="21">
        <f t="shared" si="37"/>
        <v>572584046.82581091</v>
      </c>
      <c r="K475" s="21">
        <f t="shared" si="38"/>
        <v>23928.728483264858</v>
      </c>
      <c r="L475" s="22">
        <f t="shared" si="39"/>
        <v>5.5313750539216042E-2</v>
      </c>
    </row>
    <row r="476" spans="1:12" x14ac:dyDescent="0.3">
      <c r="A476" s="19">
        <v>5.4539999999999997</v>
      </c>
      <c r="B476" s="19">
        <v>18.059999999999999</v>
      </c>
      <c r="C476" s="20">
        <v>20.100000000000001</v>
      </c>
      <c r="D476" s="20">
        <v>319200</v>
      </c>
      <c r="E476" s="21">
        <f t="shared" si="35"/>
        <v>299867.76651673502</v>
      </c>
      <c r="G476" s="21">
        <f t="shared" si="36"/>
        <v>-19332.233483264979</v>
      </c>
      <c r="H476" s="21">
        <f t="shared" si="37"/>
        <v>373735251.45147163</v>
      </c>
      <c r="K476" s="21">
        <f t="shared" si="38"/>
        <v>19332.233483264979</v>
      </c>
      <c r="L476" s="22">
        <f t="shared" si="39"/>
        <v>6.0564641238298807E-2</v>
      </c>
    </row>
    <row r="477" spans="1:12" x14ac:dyDescent="0.3">
      <c r="A477" s="19">
        <v>5.4139999999999997</v>
      </c>
      <c r="B477" s="19">
        <v>23.97</v>
      </c>
      <c r="C477" s="20">
        <v>20.100000000000001</v>
      </c>
      <c r="D477" s="20">
        <v>147000</v>
      </c>
      <c r="E477" s="21">
        <f t="shared" si="35"/>
        <v>232287.57651673496</v>
      </c>
      <c r="G477" s="21">
        <f t="shared" si="36"/>
        <v>85287.57651673496</v>
      </c>
      <c r="H477" s="21">
        <f t="shared" si="37"/>
        <v>7273970708.0979204</v>
      </c>
      <c r="K477" s="21">
        <f t="shared" si="38"/>
        <v>85287.57651673496</v>
      </c>
      <c r="L477" s="22">
        <f t="shared" si="39"/>
        <v>0.58018759535193853</v>
      </c>
    </row>
    <row r="478" spans="1:12" x14ac:dyDescent="0.3">
      <c r="A478" s="19">
        <v>5.093</v>
      </c>
      <c r="B478" s="19">
        <v>29.68</v>
      </c>
      <c r="C478" s="20">
        <v>20.100000000000001</v>
      </c>
      <c r="D478" s="20">
        <v>170100</v>
      </c>
      <c r="E478" s="21">
        <f t="shared" si="35"/>
        <v>142552.42151673505</v>
      </c>
      <c r="G478" s="21">
        <f t="shared" si="36"/>
        <v>-27547.578483264952</v>
      </c>
      <c r="H478" s="21">
        <f t="shared" si="37"/>
        <v>758869080.29164207</v>
      </c>
      <c r="K478" s="21">
        <f t="shared" si="38"/>
        <v>27547.578483264952</v>
      </c>
      <c r="L478" s="22">
        <f t="shared" si="39"/>
        <v>0.16194931501037596</v>
      </c>
    </row>
    <row r="479" spans="1:12" x14ac:dyDescent="0.3">
      <c r="A479" s="19">
        <v>5.9829999999999997</v>
      </c>
      <c r="B479" s="19">
        <v>18.07</v>
      </c>
      <c r="C479" s="20">
        <v>20.100000000000001</v>
      </c>
      <c r="D479" s="20">
        <v>285600</v>
      </c>
      <c r="E479" s="21">
        <f t="shared" si="35"/>
        <v>345552.16151673504</v>
      </c>
      <c r="G479" s="21">
        <f t="shared" si="36"/>
        <v>59952.161516735039</v>
      </c>
      <c r="H479" s="21">
        <f t="shared" si="37"/>
        <v>3594261670.5286856</v>
      </c>
      <c r="K479" s="21">
        <f t="shared" si="38"/>
        <v>59952.161516735039</v>
      </c>
      <c r="L479" s="22">
        <f t="shared" si="39"/>
        <v>0.20991653192134119</v>
      </c>
    </row>
    <row r="480" spans="1:12" x14ac:dyDescent="0.3">
      <c r="A480" s="19">
        <v>5.9829999999999997</v>
      </c>
      <c r="B480" s="19">
        <v>13.35</v>
      </c>
      <c r="C480" s="20">
        <v>20.100000000000001</v>
      </c>
      <c r="D480" s="20">
        <v>422100</v>
      </c>
      <c r="E480" s="21">
        <f t="shared" si="35"/>
        <v>396759.44151673495</v>
      </c>
      <c r="G480" s="21">
        <f t="shared" si="36"/>
        <v>-25340.558483265049</v>
      </c>
      <c r="H480" s="21">
        <f t="shared" si="37"/>
        <v>642143904.2437762</v>
      </c>
      <c r="K480" s="21">
        <f t="shared" si="38"/>
        <v>25340.558483265049</v>
      </c>
      <c r="L480" s="22">
        <f t="shared" si="39"/>
        <v>6.0034490602381071E-2</v>
      </c>
    </row>
    <row r="481" spans="1:12" x14ac:dyDescent="0.3">
      <c r="A481" s="19">
        <v>5.7069999999999999</v>
      </c>
      <c r="B481" s="19">
        <v>12.01</v>
      </c>
      <c r="C481" s="20">
        <v>19.2</v>
      </c>
      <c r="D481" s="20">
        <v>457800</v>
      </c>
      <c r="E481" s="21">
        <f t="shared" si="35"/>
        <v>404947.96151673509</v>
      </c>
      <c r="G481" s="21">
        <f t="shared" si="36"/>
        <v>-52852.038483264914</v>
      </c>
      <c r="H481" s="21">
        <f t="shared" si="37"/>
        <v>2793337971.8365154</v>
      </c>
      <c r="K481" s="21">
        <f t="shared" si="38"/>
        <v>52852.038483264914</v>
      </c>
      <c r="L481" s="22">
        <f t="shared" si="39"/>
        <v>0.11544787785772152</v>
      </c>
    </row>
    <row r="482" spans="1:12" x14ac:dyDescent="0.3">
      <c r="A482" s="19">
        <v>5.9260000000000002</v>
      </c>
      <c r="B482" s="19">
        <v>13.59</v>
      </c>
      <c r="C482" s="20">
        <v>19.2</v>
      </c>
      <c r="D482" s="20">
        <v>514500</v>
      </c>
      <c r="E482" s="21">
        <f t="shared" si="35"/>
        <v>406764.27651673503</v>
      </c>
      <c r="G482" s="21">
        <f t="shared" si="36"/>
        <v>-107735.72348326497</v>
      </c>
      <c r="H482" s="21">
        <f t="shared" si="37"/>
        <v>11606986114.462532</v>
      </c>
      <c r="K482" s="21">
        <f t="shared" si="38"/>
        <v>107735.72348326497</v>
      </c>
      <c r="L482" s="22">
        <f t="shared" si="39"/>
        <v>0.20939887946212823</v>
      </c>
    </row>
    <row r="483" spans="1:12" x14ac:dyDescent="0.3">
      <c r="A483" s="19">
        <v>5.67</v>
      </c>
      <c r="B483" s="19">
        <v>17.600000000000001</v>
      </c>
      <c r="C483" s="20">
        <v>19.2</v>
      </c>
      <c r="D483" s="20">
        <v>485100</v>
      </c>
      <c r="E483" s="21">
        <f t="shared" si="35"/>
        <v>341099.14651673503</v>
      </c>
      <c r="G483" s="21">
        <f t="shared" si="36"/>
        <v>-144000.85348326497</v>
      </c>
      <c r="H483" s="21">
        <f t="shared" si="37"/>
        <v>20736245803.908745</v>
      </c>
      <c r="K483" s="21">
        <f t="shared" si="38"/>
        <v>144000.85348326497</v>
      </c>
      <c r="L483" s="22">
        <f t="shared" si="39"/>
        <v>0.29684777052827249</v>
      </c>
    </row>
    <row r="484" spans="1:12" x14ac:dyDescent="0.3">
      <c r="A484" s="19">
        <v>5.39</v>
      </c>
      <c r="B484" s="19">
        <v>21.14</v>
      </c>
      <c r="C484" s="20">
        <v>19.2</v>
      </c>
      <c r="D484" s="20">
        <v>413700</v>
      </c>
      <c r="E484" s="21">
        <f t="shared" si="35"/>
        <v>278455.48651673511</v>
      </c>
      <c r="G484" s="21">
        <f t="shared" si="36"/>
        <v>-135244.51348326489</v>
      </c>
      <c r="H484" s="21">
        <f t="shared" si="37"/>
        <v>18291078427.32502</v>
      </c>
      <c r="K484" s="21">
        <f t="shared" si="38"/>
        <v>135244.51348326489</v>
      </c>
      <c r="L484" s="22">
        <f t="shared" si="39"/>
        <v>0.32691446333880803</v>
      </c>
    </row>
    <row r="485" spans="1:12" x14ac:dyDescent="0.3">
      <c r="A485" s="19">
        <v>5.7939999999999996</v>
      </c>
      <c r="B485" s="19">
        <v>14.1</v>
      </c>
      <c r="C485" s="20">
        <v>19.2</v>
      </c>
      <c r="D485" s="20">
        <v>384300</v>
      </c>
      <c r="E485" s="21">
        <f t="shared" si="35"/>
        <v>389804.70651673508</v>
      </c>
      <c r="G485" s="21">
        <f t="shared" si="36"/>
        <v>5504.7065167350811</v>
      </c>
      <c r="H485" s="21">
        <f t="shared" si="37"/>
        <v>30301793.835385669</v>
      </c>
      <c r="K485" s="21">
        <f t="shared" si="38"/>
        <v>5504.7065167350811</v>
      </c>
      <c r="L485" s="22">
        <f t="shared" si="39"/>
        <v>1.4323982609250796E-2</v>
      </c>
    </row>
    <row r="486" spans="1:12" x14ac:dyDescent="0.3">
      <c r="A486" s="19">
        <v>6.0190000000000001</v>
      </c>
      <c r="B486" s="19">
        <v>12.92</v>
      </c>
      <c r="C486" s="20">
        <v>19.2</v>
      </c>
      <c r="D486" s="20">
        <v>445200</v>
      </c>
      <c r="E486" s="21">
        <f t="shared" si="35"/>
        <v>422083.65151673515</v>
      </c>
      <c r="G486" s="21">
        <f t="shared" si="36"/>
        <v>-23116.348483264854</v>
      </c>
      <c r="H486" s="21">
        <f t="shared" si="37"/>
        <v>534365567.1997413</v>
      </c>
      <c r="K486" s="21">
        <f t="shared" si="38"/>
        <v>23116.348483264854</v>
      </c>
      <c r="L486" s="22">
        <f t="shared" si="39"/>
        <v>5.192351411335322E-2</v>
      </c>
    </row>
    <row r="487" spans="1:12" x14ac:dyDescent="0.3">
      <c r="A487" s="19">
        <v>5.569</v>
      </c>
      <c r="B487" s="19">
        <v>15.1</v>
      </c>
      <c r="C487" s="20">
        <v>19.2</v>
      </c>
      <c r="D487" s="20">
        <v>367500</v>
      </c>
      <c r="E487" s="21">
        <f t="shared" si="35"/>
        <v>359478.58151673508</v>
      </c>
      <c r="G487" s="21">
        <f t="shared" si="36"/>
        <v>-8021.4184832649189</v>
      </c>
      <c r="H487" s="21">
        <f t="shared" si="37"/>
        <v>64343154.483664073</v>
      </c>
      <c r="K487" s="21">
        <f t="shared" si="38"/>
        <v>8021.4184832649189</v>
      </c>
      <c r="L487" s="22">
        <f t="shared" si="39"/>
        <v>2.1826989070108622E-2</v>
      </c>
    </row>
    <row r="488" spans="1:12" x14ac:dyDescent="0.3">
      <c r="A488" s="19">
        <v>6.0270000000000001</v>
      </c>
      <c r="B488" s="19">
        <v>14.33</v>
      </c>
      <c r="C488" s="20">
        <v>19.2</v>
      </c>
      <c r="D488" s="20">
        <v>352800</v>
      </c>
      <c r="E488" s="21">
        <f t="shared" si="35"/>
        <v>407479.08151673508</v>
      </c>
      <c r="G488" s="21">
        <f t="shared" si="36"/>
        <v>54679.081516735081</v>
      </c>
      <c r="H488" s="21">
        <f t="shared" si="37"/>
        <v>2989801955.5137601</v>
      </c>
      <c r="K488" s="21">
        <f t="shared" si="38"/>
        <v>54679.081516735081</v>
      </c>
      <c r="L488" s="22">
        <f t="shared" si="39"/>
        <v>0.15498605872090443</v>
      </c>
    </row>
    <row r="489" spans="1:12" x14ac:dyDescent="0.3">
      <c r="A489" s="19">
        <v>6.593</v>
      </c>
      <c r="B489" s="19">
        <v>9.67</v>
      </c>
      <c r="C489" s="20">
        <v>21</v>
      </c>
      <c r="D489" s="20">
        <v>470400</v>
      </c>
      <c r="E489" s="21">
        <f t="shared" si="35"/>
        <v>471945.61151673517</v>
      </c>
      <c r="G489" s="21">
        <f t="shared" si="36"/>
        <v>1545.6115167351672</v>
      </c>
      <c r="H489" s="21">
        <f t="shared" si="37"/>
        <v>2388914.9606643841</v>
      </c>
      <c r="K489" s="21">
        <f t="shared" si="38"/>
        <v>1545.6115167351672</v>
      </c>
      <c r="L489" s="22">
        <f t="shared" si="39"/>
        <v>3.2857387685696583E-3</v>
      </c>
    </row>
    <row r="490" spans="1:12" x14ac:dyDescent="0.3">
      <c r="A490" s="19">
        <v>6.12</v>
      </c>
      <c r="B490" s="19">
        <v>9.08</v>
      </c>
      <c r="C490" s="20">
        <v>21</v>
      </c>
      <c r="D490" s="20">
        <v>432600</v>
      </c>
      <c r="E490" s="21">
        <f t="shared" si="35"/>
        <v>437401.27651673497</v>
      </c>
      <c r="G490" s="21">
        <f t="shared" si="36"/>
        <v>4801.2765167349717</v>
      </c>
      <c r="H490" s="21">
        <f t="shared" si="37"/>
        <v>23052256.190150704</v>
      </c>
      <c r="K490" s="21">
        <f t="shared" si="38"/>
        <v>4801.2765167349717</v>
      </c>
      <c r="L490" s="22">
        <f t="shared" si="39"/>
        <v>1.1098651217602801E-2</v>
      </c>
    </row>
    <row r="491" spans="1:12" x14ac:dyDescent="0.3">
      <c r="A491" s="19">
        <v>6.976</v>
      </c>
      <c r="B491" s="19">
        <v>5.64</v>
      </c>
      <c r="C491" s="20">
        <v>21</v>
      </c>
      <c r="D491" s="20">
        <v>501900</v>
      </c>
      <c r="E491" s="21">
        <f t="shared" si="35"/>
        <v>548821.47651673493</v>
      </c>
      <c r="G491" s="21">
        <f t="shared" si="36"/>
        <v>46921.476516734925</v>
      </c>
      <c r="H491" s="21">
        <f t="shared" si="37"/>
        <v>2201624958.5105071</v>
      </c>
      <c r="K491" s="21">
        <f t="shared" si="38"/>
        <v>46921.476516734925</v>
      </c>
      <c r="L491" s="22">
        <f t="shared" si="39"/>
        <v>9.3487699774327401E-2</v>
      </c>
    </row>
    <row r="492" spans="1:12" x14ac:dyDescent="0.3">
      <c r="A492" s="19">
        <v>6.7939999999999996</v>
      </c>
      <c r="B492" s="19">
        <v>6.48</v>
      </c>
      <c r="C492" s="20">
        <v>21</v>
      </c>
      <c r="D492" s="20">
        <v>462000</v>
      </c>
      <c r="E492" s="21">
        <f t="shared" si="35"/>
        <v>523953.48651673505</v>
      </c>
      <c r="G492" s="21">
        <f t="shared" si="36"/>
        <v>61953.486516735051</v>
      </c>
      <c r="H492" s="21">
        <f t="shared" si="37"/>
        <v>3838234491.5792718</v>
      </c>
      <c r="K492" s="21">
        <f t="shared" si="38"/>
        <v>61953.486516735051</v>
      </c>
      <c r="L492" s="22">
        <f t="shared" si="39"/>
        <v>0.1340984556639287</v>
      </c>
    </row>
    <row r="493" spans="1:12" x14ac:dyDescent="0.3">
      <c r="A493" s="19">
        <v>6.03</v>
      </c>
      <c r="B493" s="19">
        <v>7.88</v>
      </c>
      <c r="C493" s="20">
        <v>21</v>
      </c>
      <c r="D493" s="20">
        <v>249900</v>
      </c>
      <c r="E493" s="21">
        <f t="shared" si="35"/>
        <v>442629.22651673504</v>
      </c>
      <c r="G493" s="21">
        <f t="shared" si="36"/>
        <v>192729.22651673504</v>
      </c>
      <c r="H493" s="21">
        <f t="shared" si="37"/>
        <v>37144554753.738968</v>
      </c>
      <c r="K493" s="21">
        <f t="shared" si="38"/>
        <v>192729.22651673504</v>
      </c>
      <c r="L493" s="22">
        <f t="shared" si="39"/>
        <v>0.77122539622543029</v>
      </c>
    </row>
    <row r="494" spans="1:12" x14ac:dyDescent="0.3">
      <c r="G494" s="23" t="s">
        <v>65</v>
      </c>
      <c r="H494" s="24">
        <f>SUM(H5:H493)</f>
        <v>3767033784400.8125</v>
      </c>
      <c r="J494" t="s">
        <v>59</v>
      </c>
      <c r="K494" s="21">
        <f>SUM(K5:K493)</f>
        <v>32009407.009487364</v>
      </c>
      <c r="L494" s="25">
        <f>AVERAGE(L5:L493)</f>
        <v>0.17266606560054715</v>
      </c>
    </row>
    <row r="495" spans="1:12" x14ac:dyDescent="0.3">
      <c r="G495" s="23" t="s">
        <v>66</v>
      </c>
      <c r="H495" s="26">
        <f>H494/485</f>
        <v>7767079967.8367271</v>
      </c>
      <c r="J495" t="s">
        <v>67</v>
      </c>
      <c r="K495" s="21">
        <f>AVERAGE(K5:K493)</f>
        <v>65458.910039851464</v>
      </c>
    </row>
    <row r="496" spans="1:12" x14ac:dyDescent="0.3">
      <c r="G496" s="23" t="s">
        <v>68</v>
      </c>
      <c r="H496" s="26"/>
    </row>
    <row r="497" spans="3:8" ht="43.2" x14ac:dyDescent="0.3">
      <c r="C497" s="27" t="s">
        <v>69</v>
      </c>
      <c r="D497" s="2">
        <v>489</v>
      </c>
      <c r="G497" s="23" t="s">
        <v>70</v>
      </c>
      <c r="H497" s="28">
        <f>SQRT(H495)</f>
        <v>88131.038617712475</v>
      </c>
    </row>
    <row r="498" spans="3:8" x14ac:dyDescent="0.3">
      <c r="C498" s="2" t="s">
        <v>71</v>
      </c>
      <c r="D498" s="2">
        <v>3</v>
      </c>
    </row>
    <row r="500" spans="3:8" x14ac:dyDescent="0.3">
      <c r="C500" s="2" t="s">
        <v>72</v>
      </c>
      <c r="D500" s="2" t="s">
        <v>73</v>
      </c>
    </row>
    <row r="501" spans="3:8" x14ac:dyDescent="0.3">
      <c r="D501" s="2" t="s">
        <v>74</v>
      </c>
    </row>
    <row r="502" spans="3:8" x14ac:dyDescent="0.3">
      <c r="D502" s="2">
        <f>489-3-1</f>
        <v>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E6D1-24E4-4728-8A5D-B0EB2CBB2A17}">
  <dimension ref="A3:O46"/>
  <sheetViews>
    <sheetView tabSelected="1" workbookViewId="0">
      <selection activeCell="H14" sqref="H14"/>
    </sheetView>
  </sheetViews>
  <sheetFormatPr defaultRowHeight="14.4" x14ac:dyDescent="0.3"/>
  <cols>
    <col min="4" max="5" width="17.33203125" customWidth="1"/>
    <col min="6" max="6" width="16.44140625" style="2" customWidth="1"/>
    <col min="7" max="7" width="8.88671875" style="2"/>
    <col min="8" max="8" width="32.5546875" style="2" bestFit="1" customWidth="1"/>
    <col min="12" max="12" width="19.6640625" customWidth="1"/>
  </cols>
  <sheetData>
    <row r="3" spans="1:12" x14ac:dyDescent="0.3">
      <c r="A3" t="s">
        <v>89</v>
      </c>
    </row>
    <row r="4" spans="1:12" x14ac:dyDescent="0.3">
      <c r="A4" t="s">
        <v>90</v>
      </c>
      <c r="C4" s="2"/>
      <c r="D4" s="2"/>
      <c r="E4" s="2"/>
      <c r="I4">
        <f>1/489</f>
        <v>2.0449897750511249E-3</v>
      </c>
    </row>
    <row r="5" spans="1:12" x14ac:dyDescent="0.3">
      <c r="G5" s="2">
        <f>1/5</f>
        <v>0.2</v>
      </c>
      <c r="L5">
        <f>1/489</f>
        <v>2.0449897750511249E-3</v>
      </c>
    </row>
    <row r="7" spans="1:12" x14ac:dyDescent="0.3">
      <c r="D7" s="2" t="s">
        <v>91</v>
      </c>
      <c r="E7" t="s">
        <v>92</v>
      </c>
      <c r="F7" s="2" t="s">
        <v>97</v>
      </c>
      <c r="G7" s="2" t="s">
        <v>99</v>
      </c>
      <c r="H7" s="2" t="s">
        <v>145</v>
      </c>
    </row>
    <row r="8" spans="1:12" x14ac:dyDescent="0.3">
      <c r="D8" s="2">
        <v>5</v>
      </c>
      <c r="E8" t="s">
        <v>93</v>
      </c>
      <c r="F8" s="2">
        <f>(5-5) /(45-5)</f>
        <v>0</v>
      </c>
      <c r="G8" s="2">
        <f>1/5</f>
        <v>0.2</v>
      </c>
      <c r="H8" s="2">
        <f>F8*G8</f>
        <v>0</v>
      </c>
    </row>
    <row r="9" spans="1:12" x14ac:dyDescent="0.3">
      <c r="D9" s="2">
        <v>35</v>
      </c>
      <c r="E9" t="s">
        <v>96</v>
      </c>
      <c r="F9" s="2">
        <f>(35-5)/(45-5)</f>
        <v>0.75</v>
      </c>
      <c r="G9" s="2">
        <f t="shared" ref="G9:G12" si="0">1/5</f>
        <v>0.2</v>
      </c>
      <c r="H9" s="2">
        <f t="shared" ref="H9:H12" si="1">F9*G9</f>
        <v>0.15000000000000002</v>
      </c>
    </row>
    <row r="10" spans="1:12" x14ac:dyDescent="0.3">
      <c r="D10" s="2">
        <v>25</v>
      </c>
      <c r="E10" t="s">
        <v>95</v>
      </c>
      <c r="F10" s="2">
        <f>(25-5)/(45-5)</f>
        <v>0.5</v>
      </c>
      <c r="G10" s="2">
        <f t="shared" si="0"/>
        <v>0.2</v>
      </c>
      <c r="H10" s="2">
        <f t="shared" si="1"/>
        <v>0.1</v>
      </c>
    </row>
    <row r="11" spans="1:12" x14ac:dyDescent="0.3">
      <c r="D11" s="2">
        <v>15</v>
      </c>
      <c r="E11" t="s">
        <v>94</v>
      </c>
      <c r="F11" s="2">
        <f>(15-5)/(45-5)</f>
        <v>0.25</v>
      </c>
      <c r="G11" s="2">
        <f t="shared" si="0"/>
        <v>0.2</v>
      </c>
      <c r="H11" s="2">
        <f t="shared" si="1"/>
        <v>0.05</v>
      </c>
    </row>
    <row r="12" spans="1:12" x14ac:dyDescent="0.3">
      <c r="D12" s="2">
        <v>45</v>
      </c>
      <c r="E12" t="s">
        <v>98</v>
      </c>
      <c r="F12" s="2">
        <f>(45-5)/(45-5)</f>
        <v>1</v>
      </c>
      <c r="G12" s="2">
        <f t="shared" si="0"/>
        <v>0.2</v>
      </c>
      <c r="H12" s="2">
        <f t="shared" si="1"/>
        <v>0.2</v>
      </c>
    </row>
    <row r="14" spans="1:12" x14ac:dyDescent="0.3">
      <c r="H14" s="2">
        <f>SUM(H8:H13)</f>
        <v>0.5</v>
      </c>
    </row>
    <row r="16" spans="1:12" x14ac:dyDescent="0.3">
      <c r="D16" t="s">
        <v>92</v>
      </c>
      <c r="E16" t="s">
        <v>101</v>
      </c>
    </row>
    <row r="17" spans="1:15" x14ac:dyDescent="0.3">
      <c r="E17" t="s">
        <v>100</v>
      </c>
    </row>
    <row r="19" spans="1:15" x14ac:dyDescent="0.3">
      <c r="D19" t="s">
        <v>102</v>
      </c>
    </row>
    <row r="20" spans="1:15" x14ac:dyDescent="0.3">
      <c r="D20" t="s">
        <v>103</v>
      </c>
    </row>
    <row r="24" spans="1:15" s="3" customFormat="1" x14ac:dyDescent="0.3">
      <c r="A24" s="3" t="s">
        <v>75</v>
      </c>
      <c r="C24" s="29"/>
      <c r="D24" s="29"/>
      <c r="E24" s="29"/>
      <c r="F24" s="29"/>
      <c r="G24" s="29"/>
      <c r="H24" s="29"/>
    </row>
    <row r="25" spans="1:15" x14ac:dyDescent="0.3">
      <c r="C25" s="2"/>
      <c r="D25" s="2"/>
      <c r="E25" s="2"/>
    </row>
    <row r="26" spans="1:15" x14ac:dyDescent="0.3">
      <c r="C26" s="2"/>
      <c r="D26" s="2"/>
      <c r="E26" s="2"/>
    </row>
    <row r="27" spans="1:15" x14ac:dyDescent="0.3">
      <c r="A27" t="s">
        <v>76</v>
      </c>
      <c r="C27" s="2"/>
      <c r="D27" s="2"/>
      <c r="E27" s="2"/>
    </row>
    <row r="28" spans="1:15" x14ac:dyDescent="0.3">
      <c r="C28" s="2"/>
      <c r="D28" s="2"/>
      <c r="E28" s="2"/>
      <c r="K28" s="2" t="s">
        <v>91</v>
      </c>
      <c r="L28" t="s">
        <v>92</v>
      </c>
      <c r="M28" s="2" t="s">
        <v>97</v>
      </c>
      <c r="N28" s="2" t="s">
        <v>99</v>
      </c>
      <c r="O28" s="2" t="s">
        <v>104</v>
      </c>
    </row>
    <row r="29" spans="1:15" x14ac:dyDescent="0.3">
      <c r="B29">
        <v>1</v>
      </c>
      <c r="C29" t="s">
        <v>77</v>
      </c>
      <c r="K29" s="2">
        <v>5</v>
      </c>
      <c r="L29" t="s">
        <v>93</v>
      </c>
      <c r="M29" s="2">
        <f>(5-5) /(45-5)</f>
        <v>0</v>
      </c>
      <c r="N29" s="2">
        <f>1/5</f>
        <v>0.2</v>
      </c>
      <c r="O29" s="2">
        <f>M29*N29</f>
        <v>0</v>
      </c>
    </row>
    <row r="30" spans="1:15" x14ac:dyDescent="0.3">
      <c r="B30">
        <v>2</v>
      </c>
      <c r="C30" t="s">
        <v>78</v>
      </c>
      <c r="K30" s="2">
        <v>15</v>
      </c>
      <c r="L30" t="s">
        <v>96</v>
      </c>
      <c r="M30" s="2">
        <f>(15-5)/(45-5)</f>
        <v>0.25</v>
      </c>
      <c r="N30" s="2">
        <f t="shared" ref="N30:N33" si="2">1/5</f>
        <v>0.2</v>
      </c>
      <c r="O30" s="2">
        <f t="shared" ref="O30:O33" si="3">M30*N30</f>
        <v>0.05</v>
      </c>
    </row>
    <row r="31" spans="1:15" x14ac:dyDescent="0.3">
      <c r="B31">
        <v>3</v>
      </c>
      <c r="C31" t="s">
        <v>79</v>
      </c>
      <c r="K31" s="2">
        <v>25</v>
      </c>
      <c r="L31" t="s">
        <v>95</v>
      </c>
      <c r="M31" s="2">
        <f>(25-5)/(45-5)</f>
        <v>0.5</v>
      </c>
      <c r="N31" s="2">
        <f t="shared" si="2"/>
        <v>0.2</v>
      </c>
      <c r="O31" s="2">
        <f t="shared" si="3"/>
        <v>0.1</v>
      </c>
    </row>
    <row r="32" spans="1:15" x14ac:dyDescent="0.3">
      <c r="C32" s="2"/>
      <c r="D32" s="2"/>
      <c r="E32" s="2"/>
      <c r="K32" s="2">
        <v>35</v>
      </c>
      <c r="L32" t="s">
        <v>94</v>
      </c>
      <c r="M32" s="2">
        <f>(35-5)/(45-5)</f>
        <v>0.75</v>
      </c>
      <c r="N32" s="2">
        <f t="shared" si="2"/>
        <v>0.2</v>
      </c>
      <c r="O32" s="2">
        <f t="shared" si="3"/>
        <v>0.15000000000000002</v>
      </c>
    </row>
    <row r="33" spans="1:15" x14ac:dyDescent="0.3">
      <c r="A33" t="s">
        <v>80</v>
      </c>
      <c r="K33" s="2">
        <v>45</v>
      </c>
      <c r="L33" t="s">
        <v>98</v>
      </c>
      <c r="M33" s="2">
        <f>(45-5)/(45-5)</f>
        <v>1</v>
      </c>
      <c r="N33" s="2">
        <f t="shared" si="2"/>
        <v>0.2</v>
      </c>
      <c r="O33" s="2">
        <f t="shared" si="3"/>
        <v>0.2</v>
      </c>
    </row>
    <row r="34" spans="1:15" x14ac:dyDescent="0.3">
      <c r="C34" t="s">
        <v>0</v>
      </c>
      <c r="D34" t="s">
        <v>81</v>
      </c>
    </row>
    <row r="35" spans="1:15" x14ac:dyDescent="0.3">
      <c r="C35" t="s">
        <v>82</v>
      </c>
      <c r="D35" t="s">
        <v>83</v>
      </c>
    </row>
    <row r="37" spans="1:15" x14ac:dyDescent="0.3">
      <c r="B37" t="s">
        <v>84</v>
      </c>
      <c r="F37" s="31">
        <v>0.2</v>
      </c>
      <c r="G37" s="31">
        <v>0.3</v>
      </c>
      <c r="H37" s="31">
        <v>0.6</v>
      </c>
      <c r="I37" s="30">
        <v>0.8</v>
      </c>
    </row>
    <row r="38" spans="1:15" x14ac:dyDescent="0.3">
      <c r="B38" t="s">
        <v>85</v>
      </c>
      <c r="F38" s="31">
        <v>0.1</v>
      </c>
      <c r="G38" s="31">
        <v>0.3</v>
      </c>
      <c r="H38" s="31">
        <v>0.4</v>
      </c>
      <c r="I38" s="30">
        <v>0.2</v>
      </c>
    </row>
    <row r="40" spans="1:15" x14ac:dyDescent="0.3">
      <c r="E40" s="30" t="s">
        <v>86</v>
      </c>
      <c r="F40" s="31">
        <f>(F37*F38)+(G37*G38)+(H37*H38)+(I37*I38)</f>
        <v>0.51</v>
      </c>
    </row>
    <row r="41" spans="1:15" x14ac:dyDescent="0.3">
      <c r="C41" s="2"/>
      <c r="D41" s="2"/>
      <c r="E41" s="2"/>
    </row>
    <row r="42" spans="1:15" x14ac:dyDescent="0.3">
      <c r="C42" s="2"/>
      <c r="D42" s="2"/>
      <c r="E42" s="2"/>
    </row>
    <row r="43" spans="1:15" x14ac:dyDescent="0.3">
      <c r="A43" t="s">
        <v>87</v>
      </c>
      <c r="C43" s="2"/>
      <c r="D43" s="2"/>
      <c r="E43" s="2"/>
    </row>
    <row r="44" spans="1:15" x14ac:dyDescent="0.3">
      <c r="A44" t="s">
        <v>88</v>
      </c>
      <c r="C44" s="2"/>
      <c r="D44" s="2"/>
      <c r="E44" s="2"/>
    </row>
    <row r="45" spans="1:15" x14ac:dyDescent="0.3">
      <c r="C45" s="2"/>
      <c r="D45" s="2"/>
      <c r="E45" s="2"/>
    </row>
    <row r="46" spans="1:15" x14ac:dyDescent="0.3">
      <c r="C46" s="2"/>
      <c r="D46" s="2"/>
      <c r="E4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7237-5175-41FF-9553-08DDD458B21B}">
  <dimension ref="B2:I503"/>
  <sheetViews>
    <sheetView topLeftCell="A477" workbookViewId="0">
      <selection activeCell="E502" sqref="E502"/>
    </sheetView>
  </sheetViews>
  <sheetFormatPr defaultRowHeight="14.4" x14ac:dyDescent="0.3"/>
  <cols>
    <col min="2" max="2" width="8.88671875" style="2"/>
    <col min="3" max="3" width="14.21875" style="2" bestFit="1" customWidth="1"/>
    <col min="4" max="4" width="17.5546875" customWidth="1"/>
    <col min="5" max="5" width="12" bestFit="1" customWidth="1"/>
    <col min="6" max="6" width="52.88671875" customWidth="1"/>
    <col min="7" max="7" width="3.44140625" customWidth="1"/>
    <col min="8" max="8" width="53.6640625" customWidth="1"/>
  </cols>
  <sheetData>
    <row r="2" spans="2:9" ht="43.2" x14ac:dyDescent="0.3">
      <c r="F2" s="32" t="s">
        <v>105</v>
      </c>
      <c r="G2" s="1"/>
      <c r="H2" s="33" t="s">
        <v>106</v>
      </c>
    </row>
    <row r="3" spans="2:9" x14ac:dyDescent="0.3">
      <c r="F3" s="34"/>
      <c r="G3" s="1"/>
      <c r="H3" s="34"/>
    </row>
    <row r="4" spans="2:9" x14ac:dyDescent="0.3">
      <c r="F4" s="34"/>
      <c r="G4" s="1"/>
      <c r="H4" s="34"/>
    </row>
    <row r="5" spans="2:9" x14ac:dyDescent="0.3">
      <c r="F5" s="34"/>
      <c r="G5" s="1"/>
      <c r="H5" s="34"/>
    </row>
    <row r="6" spans="2:9" x14ac:dyDescent="0.3">
      <c r="F6" s="34"/>
      <c r="G6" s="1"/>
      <c r="H6" s="34"/>
    </row>
    <row r="7" spans="2:9" ht="43.2" x14ac:dyDescent="0.3">
      <c r="C7" s="35" t="s">
        <v>107</v>
      </c>
      <c r="F7" s="36" t="s">
        <v>108</v>
      </c>
      <c r="G7" s="1"/>
      <c r="H7" s="37" t="s">
        <v>109</v>
      </c>
    </row>
    <row r="8" spans="2:9" x14ac:dyDescent="0.3">
      <c r="F8" s="34"/>
      <c r="G8" s="1"/>
      <c r="H8" s="34"/>
    </row>
    <row r="9" spans="2:9" x14ac:dyDescent="0.3">
      <c r="F9" s="34"/>
      <c r="G9" s="1"/>
      <c r="H9" s="34"/>
    </row>
    <row r="10" spans="2:9" x14ac:dyDescent="0.3">
      <c r="B10" s="2" t="s">
        <v>0</v>
      </c>
      <c r="C10" s="2" t="s">
        <v>110</v>
      </c>
      <c r="D10" t="s">
        <v>112</v>
      </c>
      <c r="E10" t="s">
        <v>113</v>
      </c>
      <c r="F10" s="34"/>
      <c r="G10" s="1"/>
    </row>
    <row r="11" spans="2:9" x14ac:dyDescent="0.3">
      <c r="B11" s="2" t="s">
        <v>4</v>
      </c>
      <c r="C11" s="2" t="s">
        <v>55</v>
      </c>
      <c r="D11" t="s">
        <v>111</v>
      </c>
      <c r="E11" t="s">
        <v>114</v>
      </c>
      <c r="G11" s="1"/>
      <c r="I11" t="s">
        <v>116</v>
      </c>
    </row>
    <row r="12" spans="2:9" x14ac:dyDescent="0.3">
      <c r="B12" s="2">
        <v>504000</v>
      </c>
      <c r="C12" s="2">
        <v>632373.65151673486</v>
      </c>
      <c r="D12">
        <f>B12-C12</f>
        <v>-128373.65151673486</v>
      </c>
      <c r="E12">
        <f>(D12)^2</f>
        <v>16479794403.740082</v>
      </c>
      <c r="F12" s="21"/>
      <c r="G12" s="1"/>
      <c r="I12" s="21">
        <f>ABS(D12)</f>
        <v>128373.65151673486</v>
      </c>
    </row>
    <row r="13" spans="2:9" x14ac:dyDescent="0.3">
      <c r="B13" s="2">
        <v>453600</v>
      </c>
      <c r="C13" s="2">
        <v>525180.80151673499</v>
      </c>
      <c r="D13">
        <f t="shared" ref="D13:D76" si="0">B13-C13</f>
        <v>-71580.801516734995</v>
      </c>
      <c r="E13">
        <f t="shared" ref="E13:E76" si="1">(D13)^2</f>
        <v>5123811145.7782106</v>
      </c>
      <c r="F13" s="21"/>
      <c r="G13" s="1"/>
      <c r="I13" s="21">
        <f t="shared" ref="I13:I76" si="2">ABS(D13)</f>
        <v>71580.801516734995</v>
      </c>
    </row>
    <row r="14" spans="2:9" x14ac:dyDescent="0.3">
      <c r="B14" s="2">
        <v>728700</v>
      </c>
      <c r="C14" s="2">
        <v>646754.85151673504</v>
      </c>
      <c r="D14">
        <f t="shared" si="0"/>
        <v>81945.148483264958</v>
      </c>
      <c r="E14">
        <f t="shared" si="1"/>
        <v>6715007359.9443417</v>
      </c>
      <c r="F14" s="21"/>
      <c r="G14" s="1"/>
      <c r="I14" s="21">
        <f t="shared" si="2"/>
        <v>81945.148483264958</v>
      </c>
    </row>
    <row r="15" spans="2:9" x14ac:dyDescent="0.3">
      <c r="B15" s="2">
        <v>701400</v>
      </c>
      <c r="C15" s="2">
        <v>624849.80651673512</v>
      </c>
      <c r="D15">
        <f t="shared" si="0"/>
        <v>76550.193483264884</v>
      </c>
      <c r="E15">
        <f t="shared" si="1"/>
        <v>5859932122.3252897</v>
      </c>
      <c r="F15" s="21"/>
      <c r="G15" s="1"/>
      <c r="I15" s="21">
        <f t="shared" si="2"/>
        <v>76550.193483264884</v>
      </c>
    </row>
    <row r="16" spans="2:9" x14ac:dyDescent="0.3">
      <c r="B16" s="2">
        <v>760200</v>
      </c>
      <c r="C16" s="2">
        <v>611818.88151673507</v>
      </c>
      <c r="D16">
        <f t="shared" si="0"/>
        <v>148381.11848326493</v>
      </c>
      <c r="E16">
        <f t="shared" si="1"/>
        <v>22016956322.344707</v>
      </c>
      <c r="F16" s="21"/>
      <c r="G16" s="1"/>
      <c r="I16" s="21">
        <f t="shared" si="2"/>
        <v>148381.11848326493</v>
      </c>
    </row>
    <row r="17" spans="2:9" x14ac:dyDescent="0.3">
      <c r="B17" s="2">
        <v>602700</v>
      </c>
      <c r="C17" s="2">
        <v>551053.65651673498</v>
      </c>
      <c r="D17">
        <f t="shared" si="0"/>
        <v>51646.343483265024</v>
      </c>
      <c r="E17">
        <f t="shared" si="1"/>
        <v>2667344795.1913915</v>
      </c>
      <c r="F17" s="21"/>
      <c r="G17" s="1"/>
      <c r="I17" s="21">
        <f t="shared" si="2"/>
        <v>51646.343483265024</v>
      </c>
    </row>
    <row r="18" spans="2:9" x14ac:dyDescent="0.3">
      <c r="B18" s="2">
        <v>480900</v>
      </c>
      <c r="C18" s="2">
        <v>504761.70651673496</v>
      </c>
      <c r="D18">
        <f t="shared" si="0"/>
        <v>-23861.706516734965</v>
      </c>
      <c r="E18">
        <f t="shared" si="1"/>
        <v>569381037.89079189</v>
      </c>
      <c r="F18" s="21"/>
      <c r="G18" s="1"/>
      <c r="I18" s="21">
        <f t="shared" si="2"/>
        <v>23861.706516734965</v>
      </c>
    </row>
    <row r="19" spans="2:9" x14ac:dyDescent="0.3">
      <c r="B19" s="2">
        <v>569100</v>
      </c>
      <c r="C19" s="2">
        <v>445706.82651673496</v>
      </c>
      <c r="D19">
        <f t="shared" si="0"/>
        <v>123393.17348326504</v>
      </c>
      <c r="E19">
        <f t="shared" si="1"/>
        <v>15225875262.271143</v>
      </c>
      <c r="F19" s="21"/>
      <c r="G19" s="1"/>
      <c r="I19" s="21">
        <f t="shared" si="2"/>
        <v>123393.17348326504</v>
      </c>
    </row>
    <row r="20" spans="2:9" x14ac:dyDescent="0.3">
      <c r="B20" s="2">
        <v>346500</v>
      </c>
      <c r="C20" s="2">
        <v>281922.94151673507</v>
      </c>
      <c r="D20">
        <f t="shared" si="0"/>
        <v>64577.058483264933</v>
      </c>
      <c r="E20">
        <f t="shared" si="1"/>
        <v>4170196482.3510194</v>
      </c>
      <c r="F20" s="21"/>
      <c r="G20" s="1"/>
      <c r="I20" s="21">
        <f t="shared" si="2"/>
        <v>64577.058483264933</v>
      </c>
    </row>
    <row r="21" spans="2:9" x14ac:dyDescent="0.3">
      <c r="B21" s="2">
        <v>396900</v>
      </c>
      <c r="C21" s="2">
        <v>453404.35651673499</v>
      </c>
      <c r="D21">
        <f t="shared" si="0"/>
        <v>-56504.356516734988</v>
      </c>
      <c r="E21">
        <f t="shared" si="1"/>
        <v>3192742305.3702917</v>
      </c>
      <c r="F21" s="21"/>
      <c r="G21" s="1"/>
      <c r="I21" s="21">
        <f t="shared" si="2"/>
        <v>56504.356516734988</v>
      </c>
    </row>
    <row r="22" spans="2:9" x14ac:dyDescent="0.3">
      <c r="B22" s="2">
        <v>315000</v>
      </c>
      <c r="C22" s="2">
        <v>449348.95151673508</v>
      </c>
      <c r="D22">
        <f t="shared" si="0"/>
        <v>-134348.95151673508</v>
      </c>
      <c r="E22">
        <f t="shared" si="1"/>
        <v>18049640773.64603</v>
      </c>
      <c r="F22" s="21"/>
      <c r="G22" s="1"/>
      <c r="I22" s="21">
        <f t="shared" si="2"/>
        <v>134348.95151673508</v>
      </c>
    </row>
    <row r="23" spans="2:9" x14ac:dyDescent="0.3">
      <c r="B23" s="2">
        <v>396900</v>
      </c>
      <c r="C23" s="2">
        <v>495388.8515167351</v>
      </c>
      <c r="D23">
        <f t="shared" si="0"/>
        <v>-98488.8515167351</v>
      </c>
      <c r="E23">
        <f t="shared" si="1"/>
        <v>9700053873.0854931</v>
      </c>
      <c r="F23" s="21"/>
      <c r="G23" s="1"/>
      <c r="I23" s="21">
        <f t="shared" si="2"/>
        <v>98488.8515167351</v>
      </c>
    </row>
    <row r="24" spans="2:9" x14ac:dyDescent="0.3">
      <c r="B24" s="2">
        <v>455700</v>
      </c>
      <c r="C24" s="2">
        <v>458529.49151673511</v>
      </c>
      <c r="D24">
        <f t="shared" si="0"/>
        <v>-2829.4915167351137</v>
      </c>
      <c r="E24">
        <f t="shared" si="1"/>
        <v>8006022.2432759739</v>
      </c>
      <c r="F24" s="21"/>
      <c r="G24" s="1"/>
      <c r="I24" s="21">
        <f t="shared" si="2"/>
        <v>2829.4915167351137</v>
      </c>
    </row>
    <row r="25" spans="2:9" x14ac:dyDescent="0.3">
      <c r="B25" s="2">
        <v>428400</v>
      </c>
      <c r="C25" s="2">
        <v>431494.84151673503</v>
      </c>
      <c r="D25">
        <f t="shared" si="0"/>
        <v>-3094.8415167350322</v>
      </c>
      <c r="E25">
        <f t="shared" si="1"/>
        <v>9578044.013706794</v>
      </c>
      <c r="F25" s="21"/>
      <c r="G25" s="1"/>
      <c r="I25" s="21">
        <f t="shared" si="2"/>
        <v>3094.8415167350322</v>
      </c>
    </row>
    <row r="26" spans="2:9" x14ac:dyDescent="0.3">
      <c r="B26" s="2">
        <v>382200</v>
      </c>
      <c r="C26" s="2">
        <v>422521.89651673497</v>
      </c>
      <c r="D26">
        <f t="shared" si="0"/>
        <v>-40321.896516734967</v>
      </c>
      <c r="E26">
        <f t="shared" si="1"/>
        <v>1625855338.7062836</v>
      </c>
      <c r="F26" s="21"/>
      <c r="G26" s="1"/>
      <c r="I26" s="21">
        <f t="shared" si="2"/>
        <v>40321.896516734967</v>
      </c>
    </row>
    <row r="27" spans="2:9" x14ac:dyDescent="0.3">
      <c r="B27" s="2">
        <v>417900</v>
      </c>
      <c r="C27" s="2">
        <v>419261.5765167349</v>
      </c>
      <c r="D27">
        <f t="shared" si="0"/>
        <v>-1361.5765167349018</v>
      </c>
      <c r="E27">
        <f t="shared" si="1"/>
        <v>1853890.6109239485</v>
      </c>
      <c r="F27" s="21"/>
      <c r="G27" s="1"/>
      <c r="I27" s="21">
        <f t="shared" si="2"/>
        <v>1361.5765167349018</v>
      </c>
    </row>
    <row r="28" spans="2:9" x14ac:dyDescent="0.3">
      <c r="B28" s="2">
        <v>485100</v>
      </c>
      <c r="C28" s="2">
        <v>448509.25151673495</v>
      </c>
      <c r="D28">
        <f t="shared" si="0"/>
        <v>36590.748483265052</v>
      </c>
      <c r="E28">
        <f t="shared" si="1"/>
        <v>1338882874.5655637</v>
      </c>
      <c r="F28" s="21"/>
      <c r="G28" s="1"/>
      <c r="I28" s="21">
        <f t="shared" si="2"/>
        <v>36590.748483265052</v>
      </c>
    </row>
    <row r="29" spans="2:9" x14ac:dyDescent="0.3">
      <c r="B29" s="2">
        <v>367500</v>
      </c>
      <c r="C29" s="2">
        <v>365501.9165167351</v>
      </c>
      <c r="D29">
        <f t="shared" si="0"/>
        <v>1998.0834832648979</v>
      </c>
      <c r="E29">
        <f t="shared" si="1"/>
        <v>3992337.6060959878</v>
      </c>
      <c r="F29" s="21"/>
      <c r="G29" s="1"/>
      <c r="I29" s="21">
        <f t="shared" si="2"/>
        <v>1998.0834832648979</v>
      </c>
    </row>
    <row r="30" spans="2:9" x14ac:dyDescent="0.3">
      <c r="B30" s="2">
        <v>424200</v>
      </c>
      <c r="C30" s="2">
        <v>351606.22651673504</v>
      </c>
      <c r="D30">
        <f t="shared" si="0"/>
        <v>72593.773483264958</v>
      </c>
      <c r="E30">
        <f t="shared" si="1"/>
        <v>5269855948.5395823</v>
      </c>
      <c r="F30" s="21"/>
      <c r="G30" s="1"/>
      <c r="I30" s="21">
        <f t="shared" si="2"/>
        <v>72593.773483264958</v>
      </c>
    </row>
    <row r="31" spans="2:9" x14ac:dyDescent="0.3">
      <c r="B31" s="2">
        <v>382200</v>
      </c>
      <c r="C31" s="2">
        <v>379513.43151673512</v>
      </c>
      <c r="D31">
        <f t="shared" si="0"/>
        <v>2686.568483264884</v>
      </c>
      <c r="E31">
        <f t="shared" si="1"/>
        <v>7217650.2152721789</v>
      </c>
      <c r="F31" s="21"/>
      <c r="G31" s="1"/>
      <c r="I31" s="21">
        <f t="shared" si="2"/>
        <v>2686.568483264884</v>
      </c>
    </row>
    <row r="32" spans="2:9" x14ac:dyDescent="0.3">
      <c r="B32" s="2">
        <v>285600</v>
      </c>
      <c r="C32" s="2">
        <v>260253.46651673503</v>
      </c>
      <c r="D32">
        <f t="shared" si="0"/>
        <v>25346.533483264968</v>
      </c>
      <c r="E32">
        <f t="shared" si="1"/>
        <v>642446759.61827219</v>
      </c>
      <c r="F32" s="21"/>
      <c r="G32" s="1"/>
      <c r="I32" s="21">
        <f t="shared" si="2"/>
        <v>25346.533483264968</v>
      </c>
    </row>
    <row r="33" spans="2:9" x14ac:dyDescent="0.3">
      <c r="B33" s="2">
        <v>411600</v>
      </c>
      <c r="C33" s="2">
        <v>372450.95151673502</v>
      </c>
      <c r="D33">
        <f t="shared" si="0"/>
        <v>39149.048483264982</v>
      </c>
      <c r="E33">
        <f t="shared" si="1"/>
        <v>1532647997.1450322</v>
      </c>
      <c r="F33" s="21"/>
      <c r="G33" s="1"/>
      <c r="I33" s="21">
        <f t="shared" si="2"/>
        <v>39149.048483264982</v>
      </c>
    </row>
    <row r="34" spans="2:9" x14ac:dyDescent="0.3">
      <c r="B34" s="2">
        <v>319200</v>
      </c>
      <c r="C34" s="2">
        <v>334721.34651673492</v>
      </c>
      <c r="D34">
        <f t="shared" si="0"/>
        <v>-15521.34651673492</v>
      </c>
      <c r="E34">
        <f t="shared" si="1"/>
        <v>240912197.69255924</v>
      </c>
      <c r="F34" s="21"/>
      <c r="G34" s="1"/>
      <c r="I34" s="21">
        <f t="shared" si="2"/>
        <v>15521.34651673492</v>
      </c>
    </row>
    <row r="35" spans="2:9" x14ac:dyDescent="0.3">
      <c r="B35" s="2">
        <v>304500</v>
      </c>
      <c r="C35" s="2">
        <v>293656.62151673494</v>
      </c>
      <c r="D35">
        <f t="shared" si="0"/>
        <v>10843.378483265056</v>
      </c>
      <c r="E35">
        <f t="shared" si="1"/>
        <v>117578856.9313356</v>
      </c>
      <c r="F35" s="21"/>
      <c r="G35" s="1"/>
      <c r="I35" s="21">
        <f t="shared" si="2"/>
        <v>10843.378483265056</v>
      </c>
    </row>
    <row r="36" spans="2:9" x14ac:dyDescent="0.3">
      <c r="B36" s="2">
        <v>327600</v>
      </c>
      <c r="C36" s="2">
        <v>342104.75651673507</v>
      </c>
      <c r="D36">
        <f t="shared" si="0"/>
        <v>-14504.756516735069</v>
      </c>
      <c r="E36">
        <f t="shared" si="1"/>
        <v>210387961.60976845</v>
      </c>
      <c r="F36" s="21"/>
      <c r="G36" s="1"/>
      <c r="I36" s="21">
        <f t="shared" si="2"/>
        <v>14504.756516735069</v>
      </c>
    </row>
    <row r="37" spans="2:9" x14ac:dyDescent="0.3">
      <c r="B37" s="2">
        <v>291900</v>
      </c>
      <c r="C37" s="2">
        <v>311692.84151673503</v>
      </c>
      <c r="D37">
        <f t="shared" si="0"/>
        <v>-19792.841516735032</v>
      </c>
      <c r="E37">
        <f t="shared" si="1"/>
        <v>391756575.3065899</v>
      </c>
      <c r="F37" s="21"/>
      <c r="G37" s="1"/>
      <c r="I37" s="21">
        <f t="shared" si="2"/>
        <v>19792.841516735032</v>
      </c>
    </row>
    <row r="38" spans="2:9" x14ac:dyDescent="0.3">
      <c r="B38" s="2">
        <v>348600</v>
      </c>
      <c r="C38" s="2">
        <v>348661.05151673499</v>
      </c>
      <c r="D38">
        <f t="shared" si="0"/>
        <v>-61.051516734994948</v>
      </c>
      <c r="E38">
        <f t="shared" si="1"/>
        <v>3727.2876956433684</v>
      </c>
      <c r="F38" s="21"/>
      <c r="G38" s="1"/>
      <c r="I38" s="21">
        <f t="shared" si="2"/>
        <v>61.051516734994948</v>
      </c>
    </row>
    <row r="39" spans="2:9" x14ac:dyDescent="0.3">
      <c r="B39" s="2">
        <v>310800</v>
      </c>
      <c r="C39" s="2">
        <v>342120.23151673505</v>
      </c>
      <c r="D39">
        <f t="shared" si="0"/>
        <v>-31320.231516735046</v>
      </c>
      <c r="E39">
        <f t="shared" si="1"/>
        <v>980956902.26188326</v>
      </c>
      <c r="F39" s="21"/>
      <c r="G39" s="1"/>
      <c r="I39" s="21">
        <f t="shared" si="2"/>
        <v>31320.231516735046</v>
      </c>
    </row>
    <row r="40" spans="2:9" x14ac:dyDescent="0.3">
      <c r="B40" s="2">
        <v>386400</v>
      </c>
      <c r="C40" s="2">
        <v>429504.87151673506</v>
      </c>
      <c r="D40">
        <f t="shared" si="0"/>
        <v>-43104.87151673506</v>
      </c>
      <c r="E40">
        <f t="shared" si="1"/>
        <v>1858029948.4742374</v>
      </c>
      <c r="F40" s="21"/>
      <c r="G40" s="1"/>
      <c r="I40" s="21">
        <f t="shared" si="2"/>
        <v>43104.87151673506</v>
      </c>
    </row>
    <row r="41" spans="2:9" x14ac:dyDescent="0.3">
      <c r="B41" s="2">
        <v>441000</v>
      </c>
      <c r="C41" s="2">
        <v>453896.186516735</v>
      </c>
      <c r="D41">
        <f t="shared" si="0"/>
        <v>-12896.186516735004</v>
      </c>
      <c r="E41">
        <f t="shared" si="1"/>
        <v>166311626.67441773</v>
      </c>
      <c r="F41" s="21"/>
      <c r="G41" s="1"/>
      <c r="I41" s="21">
        <f t="shared" si="2"/>
        <v>12896.186516735004</v>
      </c>
    </row>
    <row r="42" spans="2:9" x14ac:dyDescent="0.3">
      <c r="B42" s="2">
        <v>266700</v>
      </c>
      <c r="C42" s="2">
        <v>255490.84151673503</v>
      </c>
      <c r="D42">
        <f t="shared" si="0"/>
        <v>11209.158483264968</v>
      </c>
      <c r="E42">
        <f t="shared" si="1"/>
        <v>125645233.90295099</v>
      </c>
      <c r="F42" s="21"/>
      <c r="G42" s="1"/>
      <c r="I42" s="21">
        <f t="shared" si="2"/>
        <v>11209.158483264968</v>
      </c>
    </row>
    <row r="43" spans="2:9" x14ac:dyDescent="0.3">
      <c r="B43" s="2">
        <v>304500</v>
      </c>
      <c r="C43" s="2">
        <v>390284.11651673517</v>
      </c>
      <c r="D43">
        <f t="shared" si="0"/>
        <v>-85784.116516735172</v>
      </c>
      <c r="E43">
        <f t="shared" si="1"/>
        <v>7358914646.5567961</v>
      </c>
      <c r="F43" s="21"/>
      <c r="G43" s="1"/>
      <c r="I43" s="21">
        <f t="shared" si="2"/>
        <v>85784.116516735172</v>
      </c>
    </row>
    <row r="44" spans="2:9" x14ac:dyDescent="0.3">
      <c r="B44" s="2">
        <v>277200</v>
      </c>
      <c r="C44" s="2">
        <v>220568.35651673493</v>
      </c>
      <c r="D44">
        <f t="shared" si="0"/>
        <v>56631.64348326507</v>
      </c>
      <c r="E44">
        <f t="shared" si="1"/>
        <v>3207143043.6156392</v>
      </c>
      <c r="F44" s="21"/>
      <c r="G44" s="1"/>
      <c r="I44" s="21">
        <f t="shared" si="2"/>
        <v>56631.64348326507</v>
      </c>
    </row>
    <row r="45" spans="2:9" x14ac:dyDescent="0.3">
      <c r="B45" s="2">
        <v>275100</v>
      </c>
      <c r="C45" s="2">
        <v>300560.31151673489</v>
      </c>
      <c r="D45">
        <f t="shared" si="0"/>
        <v>-25460.311516734888</v>
      </c>
      <c r="E45">
        <f t="shared" si="1"/>
        <v>648227462.52918315</v>
      </c>
      <c r="F45" s="21"/>
      <c r="G45" s="1"/>
      <c r="I45" s="21">
        <f t="shared" si="2"/>
        <v>25460.311516734888</v>
      </c>
    </row>
    <row r="46" spans="2:9" x14ac:dyDescent="0.3">
      <c r="B46" s="2">
        <v>283500</v>
      </c>
      <c r="C46" s="2">
        <v>313163.97651673493</v>
      </c>
      <c r="D46">
        <f t="shared" si="0"/>
        <v>-29663.976516734925</v>
      </c>
      <c r="E46">
        <f t="shared" si="1"/>
        <v>879951502.78540111</v>
      </c>
      <c r="F46" s="21"/>
      <c r="G46" s="1"/>
      <c r="I46" s="21">
        <f t="shared" si="2"/>
        <v>29663.976516734925</v>
      </c>
    </row>
    <row r="47" spans="2:9" x14ac:dyDescent="0.3">
      <c r="B47" s="2">
        <v>396900</v>
      </c>
      <c r="C47" s="2">
        <v>449789.82151673507</v>
      </c>
      <c r="D47">
        <f t="shared" si="0"/>
        <v>-52889.821516735072</v>
      </c>
      <c r="E47">
        <f t="shared" si="1"/>
        <v>2797333220.0720921</v>
      </c>
      <c r="F47" s="21"/>
      <c r="G47" s="1"/>
      <c r="I47" s="21">
        <f t="shared" si="2"/>
        <v>52889.821516735072</v>
      </c>
    </row>
    <row r="48" spans="2:9" x14ac:dyDescent="0.3">
      <c r="B48" s="2">
        <v>420000</v>
      </c>
      <c r="C48" s="2">
        <v>423057.07151673507</v>
      </c>
      <c r="D48">
        <f t="shared" si="0"/>
        <v>-3057.0715167350718</v>
      </c>
      <c r="E48">
        <f t="shared" si="1"/>
        <v>9345686.2584328726</v>
      </c>
      <c r="F48" s="21"/>
      <c r="G48" s="1"/>
      <c r="I48" s="21">
        <f t="shared" si="2"/>
        <v>3057.0715167350718</v>
      </c>
    </row>
    <row r="49" spans="2:9" x14ac:dyDescent="0.3">
      <c r="B49" s="2">
        <v>441000</v>
      </c>
      <c r="C49" s="2">
        <v>452477.51651673502</v>
      </c>
      <c r="D49">
        <f t="shared" si="0"/>
        <v>-11477.516516735021</v>
      </c>
      <c r="E49">
        <f t="shared" si="1"/>
        <v>131733385.3919252</v>
      </c>
      <c r="F49" s="21"/>
      <c r="G49" s="1"/>
      <c r="I49" s="21">
        <f t="shared" si="2"/>
        <v>11477.516516735021</v>
      </c>
    </row>
    <row r="50" spans="2:9" x14ac:dyDescent="0.3">
      <c r="B50" s="2">
        <v>518700</v>
      </c>
      <c r="C50" s="2">
        <v>447764.41651673504</v>
      </c>
      <c r="D50">
        <f t="shared" si="0"/>
        <v>70935.583483264956</v>
      </c>
      <c r="E50">
        <f t="shared" si="1"/>
        <v>5031857004.1112518</v>
      </c>
      <c r="F50" s="21"/>
      <c r="G50" s="1"/>
      <c r="I50" s="21">
        <f t="shared" si="2"/>
        <v>70935.583483264956</v>
      </c>
    </row>
    <row r="51" spans="2:9" x14ac:dyDescent="0.3">
      <c r="B51" s="2">
        <v>646800</v>
      </c>
      <c r="C51" s="2">
        <v>582789.29151673499</v>
      </c>
      <c r="D51">
        <f t="shared" si="0"/>
        <v>64010.708483265014</v>
      </c>
      <c r="E51">
        <f t="shared" si="1"/>
        <v>4097370800.5295358</v>
      </c>
      <c r="F51" s="21"/>
      <c r="G51" s="1"/>
      <c r="I51" s="21">
        <f t="shared" si="2"/>
        <v>64010.708483265014</v>
      </c>
    </row>
    <row r="52" spans="2:9" x14ac:dyDescent="0.3">
      <c r="B52" s="2">
        <v>732900</v>
      </c>
      <c r="C52" s="2">
        <v>645312.33651673491</v>
      </c>
      <c r="D52">
        <f t="shared" si="0"/>
        <v>87587.663483265089</v>
      </c>
      <c r="E52">
        <f t="shared" si="1"/>
        <v>7671598794.4576883</v>
      </c>
      <c r="F52" s="21"/>
      <c r="G52" s="1"/>
      <c r="I52" s="21">
        <f t="shared" si="2"/>
        <v>87587.663483265089</v>
      </c>
    </row>
    <row r="53" spans="2:9" x14ac:dyDescent="0.3">
      <c r="B53" s="2">
        <v>558600</v>
      </c>
      <c r="C53" s="2">
        <v>600093.48651673505</v>
      </c>
      <c r="D53">
        <f t="shared" si="0"/>
        <v>-41493.486516735051</v>
      </c>
      <c r="E53">
        <f t="shared" si="1"/>
        <v>1721709423.3144734</v>
      </c>
      <c r="F53" s="21"/>
      <c r="G53" s="1"/>
      <c r="I53" s="21">
        <f t="shared" si="2"/>
        <v>41493.486516735051</v>
      </c>
    </row>
    <row r="54" spans="2:9" x14ac:dyDescent="0.3">
      <c r="B54" s="2">
        <v>531300</v>
      </c>
      <c r="C54" s="2">
        <v>537544.39151673508</v>
      </c>
      <c r="D54">
        <f t="shared" si="0"/>
        <v>-6244.3915167350788</v>
      </c>
      <c r="E54">
        <f t="shared" si="1"/>
        <v>38992425.414273016</v>
      </c>
      <c r="F54" s="21"/>
      <c r="G54" s="1"/>
      <c r="I54" s="21">
        <f t="shared" si="2"/>
        <v>6244.3915167350788</v>
      </c>
    </row>
    <row r="55" spans="2:9" x14ac:dyDescent="0.3">
      <c r="B55" s="2">
        <v>518700</v>
      </c>
      <c r="C55" s="2">
        <v>523496.25151673501</v>
      </c>
      <c r="D55">
        <f t="shared" si="0"/>
        <v>-4796.2515167350066</v>
      </c>
      <c r="E55">
        <f t="shared" si="1"/>
        <v>23004028.611782853</v>
      </c>
      <c r="F55" s="21"/>
      <c r="G55" s="1"/>
      <c r="I55" s="21">
        <f t="shared" si="2"/>
        <v>4796.2515167350066</v>
      </c>
    </row>
    <row r="56" spans="2:9" x14ac:dyDescent="0.3">
      <c r="B56" s="2">
        <v>445200</v>
      </c>
      <c r="C56" s="2">
        <v>488312.63151673513</v>
      </c>
      <c r="D56">
        <f t="shared" si="0"/>
        <v>-43112.631516735128</v>
      </c>
      <c r="E56">
        <f t="shared" si="1"/>
        <v>1858698996.2977831</v>
      </c>
      <c r="F56" s="21"/>
      <c r="G56" s="1"/>
      <c r="I56" s="21">
        <f t="shared" si="2"/>
        <v>43112.631516735128</v>
      </c>
    </row>
    <row r="57" spans="2:9" x14ac:dyDescent="0.3">
      <c r="B57" s="2">
        <v>405300</v>
      </c>
      <c r="C57" s="2">
        <v>447651.63651673502</v>
      </c>
      <c r="D57">
        <f t="shared" si="0"/>
        <v>-42351.636516735016</v>
      </c>
      <c r="E57">
        <f t="shared" si="1"/>
        <v>1793661115.6456428</v>
      </c>
      <c r="F57" s="21"/>
      <c r="G57" s="1"/>
      <c r="I57" s="21">
        <f t="shared" si="2"/>
        <v>42351.636516735016</v>
      </c>
    </row>
    <row r="58" spans="2:9" x14ac:dyDescent="0.3">
      <c r="B58" s="2">
        <v>420000</v>
      </c>
      <c r="C58" s="2">
        <v>413909.33651673509</v>
      </c>
      <c r="D58">
        <f t="shared" si="0"/>
        <v>6090.6634832649142</v>
      </c>
      <c r="E58">
        <f t="shared" si="1"/>
        <v>37096181.666376695</v>
      </c>
      <c r="F58" s="21"/>
      <c r="G58" s="1"/>
      <c r="I58" s="21">
        <f t="shared" si="2"/>
        <v>6090.6634832649142</v>
      </c>
    </row>
    <row r="59" spans="2:9" x14ac:dyDescent="0.3">
      <c r="B59" s="2">
        <v>348600</v>
      </c>
      <c r="C59" s="2">
        <v>384583.34651673498</v>
      </c>
      <c r="D59">
        <f t="shared" si="0"/>
        <v>-35983.346516734979</v>
      </c>
      <c r="E59">
        <f t="shared" si="1"/>
        <v>1294801226.5434234</v>
      </c>
      <c r="F59" s="21"/>
      <c r="G59" s="1"/>
      <c r="I59" s="21">
        <f t="shared" si="2"/>
        <v>35983.346516734979</v>
      </c>
    </row>
    <row r="60" spans="2:9" x14ac:dyDescent="0.3">
      <c r="B60" s="2">
        <v>302400</v>
      </c>
      <c r="C60" s="2">
        <v>199664.34151673509</v>
      </c>
      <c r="D60">
        <f t="shared" si="0"/>
        <v>102735.65848326491</v>
      </c>
      <c r="E60">
        <f t="shared" si="1"/>
        <v>10554615523.990042</v>
      </c>
      <c r="F60" s="21"/>
      <c r="G60" s="1"/>
      <c r="I60" s="21">
        <f t="shared" si="2"/>
        <v>102735.65848326491</v>
      </c>
    </row>
    <row r="61" spans="2:9" x14ac:dyDescent="0.3">
      <c r="B61" s="2">
        <v>407400</v>
      </c>
      <c r="C61" s="2">
        <v>375740.92651673505</v>
      </c>
      <c r="D61">
        <f t="shared" si="0"/>
        <v>31659.073483264947</v>
      </c>
      <c r="E61">
        <f t="shared" si="1"/>
        <v>1002296933.8187697</v>
      </c>
      <c r="F61" s="21"/>
      <c r="G61" s="1"/>
      <c r="I61" s="21">
        <f t="shared" si="2"/>
        <v>31659.073483264947</v>
      </c>
    </row>
    <row r="62" spans="2:9" x14ac:dyDescent="0.3">
      <c r="B62" s="2">
        <v>413700</v>
      </c>
      <c r="C62" s="2">
        <v>458266.84151673509</v>
      </c>
      <c r="D62">
        <f t="shared" si="0"/>
        <v>-44566.84151673509</v>
      </c>
      <c r="E62">
        <f t="shared" si="1"/>
        <v>1986203362.7777824</v>
      </c>
      <c r="F62" s="21"/>
      <c r="G62" s="1"/>
      <c r="I62" s="21">
        <f t="shared" si="2"/>
        <v>44566.84151673509</v>
      </c>
    </row>
    <row r="63" spans="2:9" x14ac:dyDescent="0.3">
      <c r="B63" s="2">
        <v>430500</v>
      </c>
      <c r="C63" s="2">
        <v>515037.70151673508</v>
      </c>
      <c r="D63">
        <f t="shared" si="0"/>
        <v>-84537.701516735076</v>
      </c>
      <c r="E63">
        <f t="shared" si="1"/>
        <v>7146622977.7325916</v>
      </c>
      <c r="F63" s="21"/>
      <c r="G63" s="1"/>
      <c r="I63" s="21">
        <f t="shared" si="2"/>
        <v>84537.701516735076</v>
      </c>
    </row>
    <row r="64" spans="2:9" x14ac:dyDescent="0.3">
      <c r="B64" s="2">
        <v>525000</v>
      </c>
      <c r="C64" s="2">
        <v>594340.79151673499</v>
      </c>
      <c r="D64">
        <f t="shared" si="0"/>
        <v>-69340.791516734986</v>
      </c>
      <c r="E64">
        <f t="shared" si="1"/>
        <v>4808145368.1673069</v>
      </c>
      <c r="F64" s="21"/>
      <c r="G64" s="1"/>
      <c r="I64" s="21">
        <f t="shared" si="2"/>
        <v>69340.791516734986</v>
      </c>
    </row>
    <row r="65" spans="2:9" x14ac:dyDescent="0.3">
      <c r="B65" s="2">
        <v>491400</v>
      </c>
      <c r="C65" s="2">
        <v>515758.5965167351</v>
      </c>
      <c r="D65">
        <f t="shared" si="0"/>
        <v>-24358.596516735095</v>
      </c>
      <c r="E65">
        <f t="shared" si="1"/>
        <v>593341224.26509905</v>
      </c>
      <c r="F65" s="21"/>
      <c r="G65" s="1"/>
      <c r="I65" s="21">
        <f t="shared" si="2"/>
        <v>24358.596516735095</v>
      </c>
    </row>
    <row r="66" spans="2:9" x14ac:dyDescent="0.3">
      <c r="B66" s="2">
        <v>396900</v>
      </c>
      <c r="C66" s="2">
        <v>353312.71651673497</v>
      </c>
      <c r="D66">
        <f t="shared" si="0"/>
        <v>43587.283483265026</v>
      </c>
      <c r="E66">
        <f t="shared" si="1"/>
        <v>1899851281.4505081</v>
      </c>
      <c r="F66" s="21"/>
      <c r="G66" s="1"/>
      <c r="I66" s="21">
        <f t="shared" si="2"/>
        <v>43587.283483265026</v>
      </c>
    </row>
    <row r="67" spans="2:9" x14ac:dyDescent="0.3">
      <c r="B67" s="2">
        <v>743400</v>
      </c>
      <c r="C67" s="2">
        <v>641883.59151673503</v>
      </c>
      <c r="D67">
        <f t="shared" si="0"/>
        <v>101516.40848326497</v>
      </c>
      <c r="E67">
        <f t="shared" si="1"/>
        <v>10305581191.341112</v>
      </c>
      <c r="F67" s="21"/>
      <c r="G67" s="1"/>
      <c r="I67" s="21">
        <f t="shared" si="2"/>
        <v>101516.40848326497</v>
      </c>
    </row>
    <row r="68" spans="2:9" x14ac:dyDescent="0.3">
      <c r="B68" s="2">
        <v>518700</v>
      </c>
      <c r="C68" s="2">
        <v>568198.46151673491</v>
      </c>
      <c r="D68">
        <f t="shared" si="0"/>
        <v>-49498.461516734911</v>
      </c>
      <c r="E68">
        <f t="shared" si="1"/>
        <v>2450097692.5236869</v>
      </c>
      <c r="F68" s="21"/>
      <c r="G68" s="1"/>
      <c r="I68" s="21">
        <f t="shared" si="2"/>
        <v>49498.461516734911</v>
      </c>
    </row>
    <row r="69" spans="2:9" x14ac:dyDescent="0.3">
      <c r="B69" s="2">
        <v>663600</v>
      </c>
      <c r="C69" s="2">
        <v>668308.686516735</v>
      </c>
      <c r="D69">
        <f t="shared" si="0"/>
        <v>-4708.6865167350043</v>
      </c>
      <c r="E69">
        <f t="shared" si="1"/>
        <v>22171728.712882027</v>
      </c>
      <c r="F69" s="21"/>
      <c r="G69" s="1"/>
      <c r="I69" s="21">
        <f t="shared" si="2"/>
        <v>4708.6865167350043</v>
      </c>
    </row>
    <row r="70" spans="2:9" x14ac:dyDescent="0.3">
      <c r="B70" s="2">
        <v>489300</v>
      </c>
      <c r="C70" s="2">
        <v>488989.78151673503</v>
      </c>
      <c r="D70">
        <f t="shared" si="0"/>
        <v>310.21848326496547</v>
      </c>
      <c r="E70">
        <f t="shared" si="1"/>
        <v>96235.507359215655</v>
      </c>
      <c r="F70" s="21"/>
      <c r="G70" s="1"/>
      <c r="I70" s="21">
        <f t="shared" si="2"/>
        <v>310.21848326496547</v>
      </c>
    </row>
    <row r="71" spans="2:9" x14ac:dyDescent="0.3">
      <c r="B71" s="2">
        <v>411600</v>
      </c>
      <c r="C71" s="2">
        <v>444514.97151673498</v>
      </c>
      <c r="D71">
        <f t="shared" si="0"/>
        <v>-32914.971516734979</v>
      </c>
      <c r="E71">
        <f t="shared" si="1"/>
        <v>1083395349.947475</v>
      </c>
      <c r="F71" s="21"/>
      <c r="G71" s="1"/>
      <c r="I71" s="21">
        <f t="shared" si="2"/>
        <v>32914.971516734979</v>
      </c>
    </row>
    <row r="72" spans="2:9" x14ac:dyDescent="0.3">
      <c r="B72" s="2">
        <v>392700</v>
      </c>
      <c r="C72" s="2">
        <v>385777.31151673506</v>
      </c>
      <c r="D72">
        <f t="shared" si="0"/>
        <v>6922.6884832649375</v>
      </c>
      <c r="E72">
        <f t="shared" si="1"/>
        <v>47923615.836328998</v>
      </c>
      <c r="F72" s="21"/>
      <c r="G72" s="1"/>
      <c r="I72" s="21">
        <f t="shared" si="2"/>
        <v>6922.6884832649375</v>
      </c>
    </row>
    <row r="73" spans="2:9" x14ac:dyDescent="0.3">
      <c r="B73" s="2">
        <v>336000</v>
      </c>
      <c r="C73" s="2">
        <v>391259.22651673498</v>
      </c>
      <c r="D73">
        <f t="shared" si="0"/>
        <v>-55259.226516734983</v>
      </c>
      <c r="E73">
        <f t="shared" si="1"/>
        <v>3053582115.2278266</v>
      </c>
      <c r="F73" s="21"/>
      <c r="G73" s="1"/>
      <c r="I73" s="21">
        <f t="shared" si="2"/>
        <v>55259.226516734983</v>
      </c>
    </row>
    <row r="74" spans="2:9" x14ac:dyDescent="0.3">
      <c r="B74" s="2">
        <v>466200</v>
      </c>
      <c r="C74" s="2">
        <v>517321.86651673511</v>
      </c>
      <c r="D74">
        <f t="shared" si="0"/>
        <v>-51121.866516735114</v>
      </c>
      <c r="E74">
        <f t="shared" si="1"/>
        <v>2613445236.1548829</v>
      </c>
      <c r="F74" s="21"/>
      <c r="G74" s="1"/>
      <c r="I74" s="21">
        <f t="shared" si="2"/>
        <v>51121.866516735114</v>
      </c>
    </row>
    <row r="75" spans="2:9" x14ac:dyDescent="0.3">
      <c r="B75" s="2">
        <v>525000</v>
      </c>
      <c r="C75" s="2">
        <v>513759.02651673503</v>
      </c>
      <c r="D75">
        <f t="shared" si="0"/>
        <v>11240.97348326497</v>
      </c>
      <c r="E75">
        <f t="shared" si="1"/>
        <v>126359484.85146619</v>
      </c>
      <c r="F75" s="21"/>
      <c r="G75" s="1"/>
      <c r="I75" s="21">
        <f t="shared" si="2"/>
        <v>11240.97348326497</v>
      </c>
    </row>
    <row r="76" spans="2:9" x14ac:dyDescent="0.3">
      <c r="B76" s="2">
        <v>693000</v>
      </c>
      <c r="C76" s="2">
        <v>580536.50651673507</v>
      </c>
      <c r="D76">
        <f t="shared" si="0"/>
        <v>112463.49348326493</v>
      </c>
      <c r="E76">
        <f t="shared" si="1"/>
        <v>12648037366.460373</v>
      </c>
      <c r="F76" s="21"/>
      <c r="G76" s="1"/>
      <c r="I76" s="21">
        <f t="shared" si="2"/>
        <v>112463.49348326493</v>
      </c>
    </row>
    <row r="77" spans="2:9" x14ac:dyDescent="0.3">
      <c r="B77" s="2">
        <v>493500</v>
      </c>
      <c r="C77" s="2">
        <v>595472.21651673503</v>
      </c>
      <c r="D77">
        <f t="shared" ref="D77:D140" si="3">B77-C77</f>
        <v>-101972.21651673503</v>
      </c>
      <c r="E77">
        <f t="shared" ref="E77:E140" si="4">(D77)^2</f>
        <v>10398332941.33589</v>
      </c>
      <c r="F77" s="21"/>
      <c r="G77" s="1"/>
      <c r="I77" s="21">
        <f t="shared" ref="I77:I140" si="5">ABS(D77)</f>
        <v>101972.21651673503</v>
      </c>
    </row>
    <row r="78" spans="2:9" x14ac:dyDescent="0.3">
      <c r="B78" s="2">
        <v>407400</v>
      </c>
      <c r="C78" s="2">
        <v>491501.09151673497</v>
      </c>
      <c r="D78">
        <f t="shared" si="3"/>
        <v>-84101.091516734974</v>
      </c>
      <c r="E78">
        <f t="shared" si="4"/>
        <v>7072993594.3062315</v>
      </c>
      <c r="F78" s="21"/>
      <c r="G78" s="1"/>
      <c r="I78" s="21">
        <f t="shared" si="5"/>
        <v>84101.091516734974</v>
      </c>
    </row>
    <row r="79" spans="2:9" x14ac:dyDescent="0.3">
      <c r="B79" s="2">
        <v>462000</v>
      </c>
      <c r="C79" s="2">
        <v>468017.76651673502</v>
      </c>
      <c r="D79">
        <f t="shared" si="3"/>
        <v>-6017.7665167350206</v>
      </c>
      <c r="E79">
        <f t="shared" si="4"/>
        <v>36213513.849937141</v>
      </c>
      <c r="F79" s="21"/>
      <c r="G79" s="1"/>
      <c r="I79" s="21">
        <f t="shared" si="5"/>
        <v>6017.7665167350206</v>
      </c>
    </row>
    <row r="80" spans="2:9" x14ac:dyDescent="0.3">
      <c r="B80" s="2">
        <v>365400</v>
      </c>
      <c r="C80" s="2">
        <v>389296.79651673505</v>
      </c>
      <c r="D80">
        <f t="shared" si="3"/>
        <v>-23896.796516735048</v>
      </c>
      <c r="E80">
        <f t="shared" si="4"/>
        <v>571056883.76224029</v>
      </c>
      <c r="F80" s="21"/>
      <c r="G80" s="1"/>
      <c r="I80" s="21">
        <f t="shared" si="5"/>
        <v>23896.796516735048</v>
      </c>
    </row>
    <row r="81" spans="2:9" x14ac:dyDescent="0.3">
      <c r="B81" s="2">
        <v>438900</v>
      </c>
      <c r="C81" s="2">
        <v>461137.91151673504</v>
      </c>
      <c r="D81">
        <f t="shared" si="3"/>
        <v>-22237.911516735039</v>
      </c>
      <c r="E81">
        <f t="shared" si="4"/>
        <v>494524708.6261369</v>
      </c>
      <c r="F81" s="21"/>
      <c r="G81" s="1"/>
      <c r="I81" s="21">
        <f t="shared" si="5"/>
        <v>22237.911516735039</v>
      </c>
    </row>
    <row r="82" spans="2:9" x14ac:dyDescent="0.3">
      <c r="B82" s="2">
        <v>508200</v>
      </c>
      <c r="C82" s="2">
        <v>523800.32151673496</v>
      </c>
      <c r="D82">
        <f t="shared" si="3"/>
        <v>-15600.321516734955</v>
      </c>
      <c r="E82">
        <f t="shared" si="4"/>
        <v>243370031.42550361</v>
      </c>
      <c r="F82" s="21"/>
      <c r="G82" s="1"/>
      <c r="I82" s="21">
        <f t="shared" si="5"/>
        <v>15600.321516734955</v>
      </c>
    </row>
    <row r="83" spans="2:9" x14ac:dyDescent="0.3">
      <c r="B83" s="2">
        <v>455700</v>
      </c>
      <c r="C83" s="2">
        <v>450043.84151673509</v>
      </c>
      <c r="D83">
        <f t="shared" si="3"/>
        <v>5656.1584832649096</v>
      </c>
      <c r="E83">
        <f t="shared" si="4"/>
        <v>31992128.787809603</v>
      </c>
      <c r="F83" s="21"/>
      <c r="G83" s="1"/>
      <c r="I83" s="21">
        <f t="shared" si="5"/>
        <v>5656.1584832649096</v>
      </c>
    </row>
    <row r="84" spans="2:9" x14ac:dyDescent="0.3">
      <c r="B84" s="2">
        <v>478800</v>
      </c>
      <c r="C84" s="2">
        <v>506348.24151673511</v>
      </c>
      <c r="D84">
        <f t="shared" si="3"/>
        <v>-27548.241516735114</v>
      </c>
      <c r="E84">
        <f t="shared" si="4"/>
        <v>758905610.66436815</v>
      </c>
      <c r="F84" s="21"/>
      <c r="G84" s="1"/>
      <c r="I84" s="21">
        <f t="shared" si="5"/>
        <v>27548.241516735114</v>
      </c>
    </row>
    <row r="85" spans="2:9" x14ac:dyDescent="0.3">
      <c r="B85" s="2">
        <v>491400</v>
      </c>
      <c r="C85" s="2">
        <v>500014.96151673509</v>
      </c>
      <c r="D85">
        <f t="shared" si="3"/>
        <v>-8614.9615167350858</v>
      </c>
      <c r="E85">
        <f t="shared" si="4"/>
        <v>74217561.934826493</v>
      </c>
      <c r="F85" s="21"/>
      <c r="G85" s="1"/>
      <c r="I85" s="21">
        <f t="shared" si="5"/>
        <v>8614.9615167350858</v>
      </c>
    </row>
    <row r="86" spans="2:9" x14ac:dyDescent="0.3">
      <c r="B86" s="2">
        <v>506100</v>
      </c>
      <c r="C86" s="2">
        <v>520430.02151673514</v>
      </c>
      <c r="D86">
        <f t="shared" si="3"/>
        <v>-14330.021516735142</v>
      </c>
      <c r="E86">
        <f t="shared" si="4"/>
        <v>205349516.67009214</v>
      </c>
      <c r="F86" s="21"/>
      <c r="G86" s="1"/>
      <c r="I86" s="21">
        <f t="shared" si="5"/>
        <v>14330.021516735142</v>
      </c>
    </row>
    <row r="87" spans="2:9" x14ac:dyDescent="0.3">
      <c r="B87" s="2">
        <v>449400</v>
      </c>
      <c r="C87" s="2">
        <v>498121.52651673503</v>
      </c>
      <c r="D87">
        <f t="shared" si="3"/>
        <v>-48721.52651673503</v>
      </c>
      <c r="E87">
        <f t="shared" si="4"/>
        <v>2373787146.1209145</v>
      </c>
      <c r="F87" s="21"/>
      <c r="G87" s="1"/>
      <c r="I87" s="21">
        <f t="shared" si="5"/>
        <v>48721.52651673503</v>
      </c>
    </row>
    <row r="88" spans="2:9" x14ac:dyDescent="0.3">
      <c r="B88" s="2">
        <v>420000</v>
      </c>
      <c r="C88" s="2">
        <v>464643.10151673498</v>
      </c>
      <c r="D88">
        <f t="shared" si="3"/>
        <v>-44643.101516734983</v>
      </c>
      <c r="E88">
        <f t="shared" si="4"/>
        <v>1993006513.0335054</v>
      </c>
      <c r="F88" s="21"/>
      <c r="G88" s="1"/>
      <c r="I88" s="21">
        <f t="shared" si="5"/>
        <v>44643.101516734983</v>
      </c>
    </row>
    <row r="89" spans="2:9" x14ac:dyDescent="0.3">
      <c r="B89" s="2">
        <v>436800</v>
      </c>
      <c r="C89" s="2">
        <v>471053.86651673511</v>
      </c>
      <c r="D89">
        <f t="shared" si="3"/>
        <v>-34253.866516735114</v>
      </c>
      <c r="E89">
        <f t="shared" si="4"/>
        <v>1173327371.346307</v>
      </c>
      <c r="F89" s="21"/>
      <c r="G89" s="1"/>
      <c r="I89" s="21">
        <f t="shared" si="5"/>
        <v>34253.866516735114</v>
      </c>
    </row>
    <row r="90" spans="2:9" x14ac:dyDescent="0.3">
      <c r="B90" s="2">
        <v>445200</v>
      </c>
      <c r="C90" s="2">
        <v>456560.41651673504</v>
      </c>
      <c r="D90">
        <f t="shared" si="3"/>
        <v>-11360.416516735044</v>
      </c>
      <c r="E90">
        <f t="shared" si="4"/>
        <v>129059063.43370639</v>
      </c>
      <c r="F90" s="21"/>
      <c r="G90" s="1"/>
      <c r="I90" s="21">
        <f t="shared" si="5"/>
        <v>11360.416516735044</v>
      </c>
    </row>
    <row r="91" spans="2:9" x14ac:dyDescent="0.3">
      <c r="B91" s="2">
        <v>426300</v>
      </c>
      <c r="C91" s="2">
        <v>460720.90651673503</v>
      </c>
      <c r="D91">
        <f t="shared" si="3"/>
        <v>-34420.906516735035</v>
      </c>
      <c r="E91">
        <f t="shared" si="4"/>
        <v>1184798805.4338124</v>
      </c>
      <c r="F91" s="21"/>
      <c r="G91" s="1"/>
      <c r="I91" s="21">
        <f t="shared" si="5"/>
        <v>34420.906516735035</v>
      </c>
    </row>
    <row r="92" spans="2:9" x14ac:dyDescent="0.3">
      <c r="B92" s="2">
        <v>588000</v>
      </c>
      <c r="C92" s="2">
        <v>570047.94151673513</v>
      </c>
      <c r="D92">
        <f t="shared" si="3"/>
        <v>17952.058483264875</v>
      </c>
      <c r="E92">
        <f t="shared" si="4"/>
        <v>322276403.78656232</v>
      </c>
      <c r="F92" s="21"/>
      <c r="G92" s="1"/>
      <c r="I92" s="21">
        <f t="shared" si="5"/>
        <v>17952.058483264875</v>
      </c>
    </row>
    <row r="93" spans="2:9" x14ac:dyDescent="0.3">
      <c r="B93" s="2">
        <v>501900</v>
      </c>
      <c r="C93" s="2">
        <v>539760.35151673504</v>
      </c>
      <c r="D93">
        <f t="shared" si="3"/>
        <v>-37860.351516735042</v>
      </c>
      <c r="E93">
        <f t="shared" si="4"/>
        <v>1433406216.9707413</v>
      </c>
      <c r="F93" s="21"/>
      <c r="G93" s="1"/>
      <c r="I93" s="21">
        <f t="shared" si="5"/>
        <v>37860.351516735042</v>
      </c>
    </row>
    <row r="94" spans="2:9" x14ac:dyDescent="0.3">
      <c r="B94" s="2">
        <v>520800</v>
      </c>
      <c r="C94" s="2">
        <v>517743.74651673506</v>
      </c>
      <c r="D94">
        <f t="shared" si="3"/>
        <v>3056.2534832649399</v>
      </c>
      <c r="E94">
        <f t="shared" si="4"/>
        <v>9340685.3539690785</v>
      </c>
      <c r="F94" s="21"/>
      <c r="G94" s="1"/>
      <c r="I94" s="21">
        <f t="shared" si="5"/>
        <v>3056.2534832649399</v>
      </c>
    </row>
    <row r="95" spans="2:9" x14ac:dyDescent="0.3">
      <c r="B95" s="2">
        <v>480900</v>
      </c>
      <c r="C95" s="2">
        <v>497486.76151673496</v>
      </c>
      <c r="D95">
        <f t="shared" si="3"/>
        <v>-16586.761516734958</v>
      </c>
      <c r="E95">
        <f t="shared" si="4"/>
        <v>275120657.61303973</v>
      </c>
      <c r="F95" s="21"/>
      <c r="G95" s="1"/>
      <c r="I95" s="21">
        <f t="shared" si="5"/>
        <v>16586.761516734958</v>
      </c>
    </row>
    <row r="96" spans="2:9" x14ac:dyDescent="0.3">
      <c r="B96" s="2">
        <v>501900</v>
      </c>
      <c r="C96" s="2">
        <v>503558.80151673511</v>
      </c>
      <c r="D96">
        <f t="shared" si="3"/>
        <v>-1658.8015167351114</v>
      </c>
      <c r="E96">
        <f t="shared" si="4"/>
        <v>2751622.4719227059</v>
      </c>
      <c r="F96" s="21"/>
      <c r="G96" s="1"/>
      <c r="I96" s="21">
        <f t="shared" si="5"/>
        <v>1658.8015167351114</v>
      </c>
    </row>
    <row r="97" spans="2:9" x14ac:dyDescent="0.3">
      <c r="B97" s="2">
        <v>558600</v>
      </c>
      <c r="C97" s="2">
        <v>557944.37651673495</v>
      </c>
      <c r="D97">
        <f t="shared" si="3"/>
        <v>655.62348326505162</v>
      </c>
      <c r="E97">
        <f t="shared" si="4"/>
        <v>429842.15180859942</v>
      </c>
      <c r="F97" s="21"/>
      <c r="G97" s="1"/>
      <c r="I97" s="21">
        <f t="shared" si="5"/>
        <v>655.62348326505162</v>
      </c>
    </row>
    <row r="98" spans="2:9" x14ac:dyDescent="0.3">
      <c r="B98" s="2">
        <v>472500</v>
      </c>
      <c r="C98" s="2">
        <v>436032.73151673505</v>
      </c>
      <c r="D98">
        <f t="shared" si="3"/>
        <v>36467.268483264954</v>
      </c>
      <c r="E98">
        <f t="shared" si="4"/>
        <v>1329861670.6305294</v>
      </c>
      <c r="F98" s="21"/>
      <c r="G98" s="1"/>
      <c r="I98" s="21">
        <f t="shared" si="5"/>
        <v>36467.268483264954</v>
      </c>
    </row>
    <row r="99" spans="2:9" x14ac:dyDescent="0.3">
      <c r="B99" s="2">
        <v>466200</v>
      </c>
      <c r="C99" s="2">
        <v>493161.2015167349</v>
      </c>
      <c r="D99">
        <f t="shared" si="3"/>
        <v>-26961.201516734902</v>
      </c>
      <c r="E99">
        <f t="shared" si="4"/>
        <v>726906387.22598839</v>
      </c>
      <c r="F99" s="21"/>
      <c r="G99" s="1"/>
      <c r="I99" s="21">
        <f t="shared" si="5"/>
        <v>26961.201516734902</v>
      </c>
    </row>
    <row r="100" spans="2:9" x14ac:dyDescent="0.3">
      <c r="B100" s="2">
        <v>495600</v>
      </c>
      <c r="C100" s="2">
        <v>615398.25151673495</v>
      </c>
      <c r="D100">
        <f t="shared" si="3"/>
        <v>-119798.25151673495</v>
      </c>
      <c r="E100">
        <f t="shared" si="4"/>
        <v>14351621066.466887</v>
      </c>
      <c r="F100" s="21"/>
      <c r="G100" s="1"/>
      <c r="I100" s="21">
        <f t="shared" si="5"/>
        <v>119798.25151673495</v>
      </c>
    </row>
    <row r="101" spans="2:9" x14ac:dyDescent="0.3">
      <c r="B101" s="2">
        <v>602700</v>
      </c>
      <c r="C101" s="2">
        <v>619461.13151673484</v>
      </c>
      <c r="D101">
        <f t="shared" si="3"/>
        <v>-16761.131516734837</v>
      </c>
      <c r="E101">
        <f t="shared" si="4"/>
        <v>280935529.72128183</v>
      </c>
      <c r="F101" s="21"/>
      <c r="G101" s="1"/>
      <c r="I101" s="21">
        <f t="shared" si="5"/>
        <v>16761.131516734837</v>
      </c>
    </row>
    <row r="102" spans="2:9" x14ac:dyDescent="0.3">
      <c r="B102" s="2">
        <v>474600</v>
      </c>
      <c r="C102" s="2">
        <v>528414.71151673491</v>
      </c>
      <c r="D102">
        <f t="shared" si="3"/>
        <v>-53814.711516734911</v>
      </c>
      <c r="E102">
        <f t="shared" si="4"/>
        <v>2896023175.6294012</v>
      </c>
      <c r="F102" s="21"/>
      <c r="G102" s="1"/>
      <c r="I102" s="21">
        <f t="shared" si="5"/>
        <v>53814.711516734911</v>
      </c>
    </row>
    <row r="103" spans="2:9" x14ac:dyDescent="0.3">
      <c r="B103" s="2">
        <v>462000</v>
      </c>
      <c r="C103" s="2">
        <v>533993.82151673501</v>
      </c>
      <c r="D103">
        <f t="shared" si="3"/>
        <v>-71993.821516735014</v>
      </c>
      <c r="E103">
        <f t="shared" si="4"/>
        <v>5183110336.583497</v>
      </c>
      <c r="F103" s="21"/>
      <c r="G103" s="1"/>
      <c r="I103" s="21">
        <f t="shared" si="5"/>
        <v>71993.821516735014</v>
      </c>
    </row>
    <row r="104" spans="2:9" x14ac:dyDescent="0.3">
      <c r="B104" s="2">
        <v>480900</v>
      </c>
      <c r="C104" s="2">
        <v>529833.88651673496</v>
      </c>
      <c r="D104">
        <f t="shared" si="3"/>
        <v>-48933.886516734958</v>
      </c>
      <c r="E104">
        <f t="shared" si="4"/>
        <v>2394525249.6326952</v>
      </c>
      <c r="F104" s="21"/>
      <c r="G104" s="1"/>
      <c r="I104" s="21">
        <f t="shared" si="5"/>
        <v>48933.886516734958</v>
      </c>
    </row>
    <row r="105" spans="2:9" x14ac:dyDescent="0.3">
      <c r="B105" s="2">
        <v>525000</v>
      </c>
      <c r="C105" s="2">
        <v>530992.92151673511</v>
      </c>
      <c r="D105">
        <f t="shared" si="3"/>
        <v>-5992.9215167351067</v>
      </c>
      <c r="E105">
        <f t="shared" si="4"/>
        <v>35915108.305746615</v>
      </c>
      <c r="F105" s="21"/>
      <c r="G105" s="1"/>
      <c r="I105" s="21">
        <f t="shared" si="5"/>
        <v>5992.9215167351067</v>
      </c>
    </row>
    <row r="106" spans="2:9" x14ac:dyDescent="0.3">
      <c r="B106" s="2">
        <v>432600</v>
      </c>
      <c r="C106" s="2">
        <v>486763.77151673503</v>
      </c>
      <c r="D106">
        <f t="shared" si="3"/>
        <v>-54163.771516735025</v>
      </c>
      <c r="E106">
        <f t="shared" si="4"/>
        <v>2933714144.9170766</v>
      </c>
      <c r="F106" s="21"/>
      <c r="G106" s="1"/>
      <c r="I106" s="21">
        <f t="shared" si="5"/>
        <v>54163.771516735025</v>
      </c>
    </row>
    <row r="107" spans="2:9" x14ac:dyDescent="0.3">
      <c r="B107" s="2">
        <v>596400</v>
      </c>
      <c r="C107" s="2">
        <v>565955.67151673499</v>
      </c>
      <c r="D107">
        <f t="shared" si="3"/>
        <v>30444.32848326501</v>
      </c>
      <c r="E107">
        <f t="shared" si="4"/>
        <v>926857136.79694116</v>
      </c>
      <c r="F107" s="21"/>
      <c r="G107" s="1"/>
      <c r="I107" s="21">
        <f t="shared" si="5"/>
        <v>30444.32848326501</v>
      </c>
    </row>
    <row r="108" spans="2:9" x14ac:dyDescent="0.3">
      <c r="B108" s="2">
        <v>449400</v>
      </c>
      <c r="C108" s="2">
        <v>475080.83151673491</v>
      </c>
      <c r="D108">
        <f t="shared" si="3"/>
        <v>-25680.831516734906</v>
      </c>
      <c r="E108">
        <f t="shared" si="4"/>
        <v>659505107.39092493</v>
      </c>
      <c r="F108" s="21"/>
      <c r="G108" s="1"/>
      <c r="I108" s="21">
        <f t="shared" si="5"/>
        <v>25680.831516734906</v>
      </c>
    </row>
    <row r="109" spans="2:9" x14ac:dyDescent="0.3">
      <c r="B109" s="2">
        <v>812700</v>
      </c>
      <c r="C109" s="2">
        <v>717427.09151673503</v>
      </c>
      <c r="D109">
        <f t="shared" si="3"/>
        <v>95272.908483264968</v>
      </c>
      <c r="E109">
        <f t="shared" si="4"/>
        <v>9076927090.8605824</v>
      </c>
      <c r="F109" s="21"/>
      <c r="G109" s="1"/>
      <c r="I109" s="21">
        <f t="shared" si="5"/>
        <v>95272.908483264968</v>
      </c>
    </row>
    <row r="110" spans="2:9" x14ac:dyDescent="0.3">
      <c r="B110" s="2">
        <v>919800</v>
      </c>
      <c r="C110" s="2">
        <v>702815.76651673508</v>
      </c>
      <c r="D110">
        <f t="shared" si="3"/>
        <v>216984.23348326492</v>
      </c>
      <c r="E110">
        <f t="shared" si="4"/>
        <v>47082157580.320023</v>
      </c>
      <c r="F110" s="21"/>
      <c r="G110" s="1"/>
      <c r="I110" s="21">
        <f t="shared" si="5"/>
        <v>216984.23348326492</v>
      </c>
    </row>
    <row r="111" spans="2:9" x14ac:dyDescent="0.3">
      <c r="B111" s="2">
        <v>697200</v>
      </c>
      <c r="C111" s="2">
        <v>639419.12651673495</v>
      </c>
      <c r="D111">
        <f t="shared" si="3"/>
        <v>57780.873483265052</v>
      </c>
      <c r="E111">
        <f t="shared" si="4"/>
        <v>3338629340.4890823</v>
      </c>
      <c r="F111" s="21"/>
      <c r="G111" s="1"/>
      <c r="I111" s="21">
        <f t="shared" si="5"/>
        <v>57780.873483265052</v>
      </c>
    </row>
    <row r="112" spans="2:9" x14ac:dyDescent="0.3">
      <c r="B112" s="2">
        <v>577500</v>
      </c>
      <c r="C112" s="2">
        <v>488206.77151673514</v>
      </c>
      <c r="D112">
        <f t="shared" si="3"/>
        <v>89293.228483264858</v>
      </c>
      <c r="E112">
        <f t="shared" si="4"/>
        <v>7973280652.9645424</v>
      </c>
      <c r="F112" s="21"/>
      <c r="G112" s="1"/>
      <c r="I112" s="21">
        <f t="shared" si="5"/>
        <v>89293.228483264858</v>
      </c>
    </row>
    <row r="113" spans="2:9" x14ac:dyDescent="0.3">
      <c r="B113" s="2">
        <v>556500</v>
      </c>
      <c r="C113" s="2">
        <v>511867.03151673515</v>
      </c>
      <c r="D113">
        <f t="shared" si="3"/>
        <v>44632.968483264849</v>
      </c>
      <c r="E113">
        <f t="shared" si="4"/>
        <v>1992101875.6281133</v>
      </c>
      <c r="F113" s="21"/>
      <c r="G113" s="1"/>
      <c r="I113" s="21">
        <f t="shared" si="5"/>
        <v>44632.968483264849</v>
      </c>
    </row>
    <row r="114" spans="2:9" x14ac:dyDescent="0.3">
      <c r="B114" s="2">
        <v>390600</v>
      </c>
      <c r="C114" s="2">
        <v>447205.55151673517</v>
      </c>
      <c r="D114">
        <f t="shared" si="3"/>
        <v>-56605.55151673517</v>
      </c>
      <c r="E114">
        <f t="shared" si="4"/>
        <v>3204188462.5137591</v>
      </c>
      <c r="F114" s="21"/>
      <c r="G114" s="1"/>
      <c r="I114" s="21">
        <f t="shared" si="5"/>
        <v>56605.55151673517</v>
      </c>
    </row>
    <row r="115" spans="2:9" x14ac:dyDescent="0.3">
      <c r="B115" s="2">
        <v>405300</v>
      </c>
      <c r="C115" s="2">
        <v>393520.44151673495</v>
      </c>
      <c r="D115">
        <f t="shared" si="3"/>
        <v>11779.558483265049</v>
      </c>
      <c r="E115">
        <f t="shared" si="4"/>
        <v>138757998.06066158</v>
      </c>
      <c r="F115" s="21"/>
      <c r="G115" s="1"/>
      <c r="I115" s="21">
        <f t="shared" si="5"/>
        <v>11779.558483265049</v>
      </c>
    </row>
    <row r="116" spans="2:9" x14ac:dyDescent="0.3">
      <c r="B116" s="2">
        <v>422100</v>
      </c>
      <c r="C116" s="2">
        <v>408159.78151673492</v>
      </c>
      <c r="D116">
        <f t="shared" si="3"/>
        <v>13940.218483265082</v>
      </c>
      <c r="E116">
        <f t="shared" si="4"/>
        <v>194329691.36116543</v>
      </c>
      <c r="F116" s="21"/>
      <c r="G116" s="1"/>
      <c r="I116" s="21">
        <f t="shared" si="5"/>
        <v>13940.218483265082</v>
      </c>
    </row>
    <row r="117" spans="2:9" x14ac:dyDescent="0.3">
      <c r="B117" s="2">
        <v>409500</v>
      </c>
      <c r="C117" s="2">
        <v>335890.38151673501</v>
      </c>
      <c r="D117">
        <f t="shared" si="3"/>
        <v>73609.618483264989</v>
      </c>
      <c r="E117">
        <f t="shared" si="4"/>
        <v>5418375933.2518263</v>
      </c>
      <c r="F117" s="21"/>
      <c r="G117" s="1"/>
      <c r="I117" s="21">
        <f t="shared" si="5"/>
        <v>73609.618483264989</v>
      </c>
    </row>
    <row r="118" spans="2:9" x14ac:dyDescent="0.3">
      <c r="B118" s="2">
        <v>409500</v>
      </c>
      <c r="C118" s="2">
        <v>310832.5965167351</v>
      </c>
      <c r="D118">
        <f t="shared" si="3"/>
        <v>98667.403483264905</v>
      </c>
      <c r="E118">
        <f t="shared" si="4"/>
        <v>9735256510.1293964</v>
      </c>
      <c r="F118" s="21"/>
      <c r="G118" s="1"/>
      <c r="I118" s="21">
        <f t="shared" si="5"/>
        <v>98667.403483264905</v>
      </c>
    </row>
    <row r="119" spans="2:9" x14ac:dyDescent="0.3">
      <c r="B119" s="2">
        <v>428400</v>
      </c>
      <c r="C119" s="2">
        <v>385602.94151673507</v>
      </c>
      <c r="D119">
        <f t="shared" si="3"/>
        <v>42797.058483264933</v>
      </c>
      <c r="E119">
        <f t="shared" si="4"/>
        <v>1831588214.819999</v>
      </c>
      <c r="F119" s="21"/>
      <c r="G119" s="1"/>
      <c r="I119" s="21">
        <f t="shared" si="5"/>
        <v>42797.058483264933</v>
      </c>
    </row>
    <row r="120" spans="2:9" x14ac:dyDescent="0.3">
      <c r="B120" s="2">
        <v>415800</v>
      </c>
      <c r="C120" s="2">
        <v>435386.17651673505</v>
      </c>
      <c r="D120">
        <f t="shared" si="3"/>
        <v>-19586.176516735053</v>
      </c>
      <c r="E120">
        <f t="shared" si="4"/>
        <v>383618310.54470366</v>
      </c>
      <c r="F120" s="21"/>
      <c r="G120" s="1"/>
      <c r="I120" s="21">
        <f t="shared" si="5"/>
        <v>19586.176516735053</v>
      </c>
    </row>
    <row r="121" spans="2:9" x14ac:dyDescent="0.3">
      <c r="B121" s="2">
        <v>407400</v>
      </c>
      <c r="C121" s="2">
        <v>378593.03151673503</v>
      </c>
      <c r="D121">
        <f t="shared" si="3"/>
        <v>28806.968483264965</v>
      </c>
      <c r="E121">
        <f t="shared" si="4"/>
        <v>829841433.19582105</v>
      </c>
      <c r="F121" s="21"/>
      <c r="G121" s="1"/>
      <c r="I121" s="21">
        <f t="shared" si="5"/>
        <v>28806.968483264965</v>
      </c>
    </row>
    <row r="122" spans="2:9" x14ac:dyDescent="0.3">
      <c r="B122" s="2">
        <v>455700</v>
      </c>
      <c r="C122" s="2">
        <v>403314.77151673503</v>
      </c>
      <c r="D122">
        <f t="shared" si="3"/>
        <v>52385.228483264975</v>
      </c>
      <c r="E122">
        <f t="shared" si="4"/>
        <v>2744212163.243876</v>
      </c>
      <c r="F122" s="21"/>
      <c r="G122" s="1"/>
      <c r="I122" s="21">
        <f t="shared" si="5"/>
        <v>52385.228483264975</v>
      </c>
    </row>
    <row r="123" spans="2:9" x14ac:dyDescent="0.3">
      <c r="B123" s="2">
        <v>478800</v>
      </c>
      <c r="C123" s="2">
        <v>539564.93151673512</v>
      </c>
      <c r="D123">
        <f t="shared" si="3"/>
        <v>-60764.931516735116</v>
      </c>
      <c r="E123">
        <f t="shared" si="4"/>
        <v>3692376902.2335086</v>
      </c>
      <c r="F123" s="21"/>
      <c r="G123" s="1"/>
      <c r="I123" s="21">
        <f t="shared" si="5"/>
        <v>60764.931516735116</v>
      </c>
    </row>
    <row r="124" spans="2:9" x14ac:dyDescent="0.3">
      <c r="B124" s="2">
        <v>394800</v>
      </c>
      <c r="C124" s="2">
        <v>404503.35151673498</v>
      </c>
      <c r="D124">
        <f t="shared" si="3"/>
        <v>-9703.3515167349833</v>
      </c>
      <c r="E124">
        <f t="shared" si="4"/>
        <v>94155030.657323107</v>
      </c>
      <c r="F124" s="21"/>
      <c r="G124" s="1"/>
      <c r="I124" s="21">
        <f t="shared" si="5"/>
        <v>9703.3515167349833</v>
      </c>
    </row>
    <row r="125" spans="2:9" x14ac:dyDescent="0.3">
      <c r="B125" s="2">
        <v>392700</v>
      </c>
      <c r="C125" s="2">
        <v>410451.36651673488</v>
      </c>
      <c r="D125">
        <f t="shared" si="3"/>
        <v>-17751.366516734881</v>
      </c>
      <c r="E125">
        <f t="shared" si="4"/>
        <v>315111013.21145624</v>
      </c>
      <c r="F125" s="21"/>
      <c r="G125" s="1"/>
      <c r="I125" s="21">
        <f t="shared" si="5"/>
        <v>17751.366516734881</v>
      </c>
    </row>
    <row r="126" spans="2:9" x14ac:dyDescent="0.3">
      <c r="B126" s="2">
        <v>388500</v>
      </c>
      <c r="C126" s="2">
        <v>496512.25651673489</v>
      </c>
      <c r="D126">
        <f t="shared" si="3"/>
        <v>-108012.25651673489</v>
      </c>
      <c r="E126">
        <f t="shared" si="4"/>
        <v>11666647557.836939</v>
      </c>
      <c r="F126" s="21"/>
      <c r="G126" s="1"/>
      <c r="I126" s="21">
        <f t="shared" si="5"/>
        <v>108012.25651673489</v>
      </c>
    </row>
    <row r="127" spans="2:9" x14ac:dyDescent="0.3">
      <c r="B127" s="2">
        <v>384300</v>
      </c>
      <c r="C127" s="2">
        <v>410683.87651673501</v>
      </c>
      <c r="D127">
        <f t="shared" si="3"/>
        <v>-26383.876516735007</v>
      </c>
      <c r="E127">
        <f t="shared" si="4"/>
        <v>696108940.05032098</v>
      </c>
      <c r="F127" s="21"/>
      <c r="G127" s="1"/>
      <c r="I127" s="21">
        <f t="shared" si="5"/>
        <v>26383.876516735007</v>
      </c>
    </row>
    <row r="128" spans="2:9" x14ac:dyDescent="0.3">
      <c r="B128" s="2">
        <v>445200</v>
      </c>
      <c r="C128" s="2">
        <v>472510.27651673515</v>
      </c>
      <c r="D128">
        <f t="shared" si="3"/>
        <v>-27310.276516735146</v>
      </c>
      <c r="E128">
        <f t="shared" si="4"/>
        <v>745851203.42053521</v>
      </c>
      <c r="F128" s="21"/>
      <c r="G128" s="1"/>
      <c r="I128" s="21">
        <f t="shared" si="5"/>
        <v>27310.276516735146</v>
      </c>
    </row>
    <row r="129" spans="2:9" x14ac:dyDescent="0.3">
      <c r="B129" s="2">
        <v>403200</v>
      </c>
      <c r="C129" s="2">
        <v>477969.96151673497</v>
      </c>
      <c r="D129">
        <f t="shared" si="3"/>
        <v>-74769.961516734969</v>
      </c>
      <c r="E129">
        <f t="shared" si="4"/>
        <v>5590547145.2140284</v>
      </c>
      <c r="F129" s="21"/>
      <c r="G129" s="1"/>
      <c r="I129" s="21">
        <f t="shared" si="5"/>
        <v>74769.961516734969</v>
      </c>
    </row>
    <row r="130" spans="2:9" x14ac:dyDescent="0.3">
      <c r="B130" s="2">
        <v>428400</v>
      </c>
      <c r="C130" s="2">
        <v>410067.34651673498</v>
      </c>
      <c r="D130">
        <f t="shared" si="3"/>
        <v>18332.653483265021</v>
      </c>
      <c r="E130">
        <f t="shared" si="4"/>
        <v>336086183.73746914</v>
      </c>
      <c r="F130" s="21"/>
      <c r="G130" s="1"/>
      <c r="I130" s="21">
        <f t="shared" si="5"/>
        <v>18332.653483265021</v>
      </c>
    </row>
    <row r="131" spans="2:9" x14ac:dyDescent="0.3">
      <c r="B131" s="2">
        <v>405300</v>
      </c>
      <c r="C131" s="2">
        <v>416955.92151673505</v>
      </c>
      <c r="D131">
        <f t="shared" si="3"/>
        <v>-11655.921516735048</v>
      </c>
      <c r="E131">
        <f t="shared" si="4"/>
        <v>135860506.40428707</v>
      </c>
      <c r="F131" s="21"/>
      <c r="G131" s="1"/>
      <c r="I131" s="21">
        <f t="shared" si="5"/>
        <v>11655.921516735048</v>
      </c>
    </row>
    <row r="132" spans="2:9" x14ac:dyDescent="0.3">
      <c r="B132" s="2">
        <v>462000</v>
      </c>
      <c r="C132" s="2">
        <v>395403.616516735</v>
      </c>
      <c r="D132">
        <f t="shared" si="3"/>
        <v>66596.383483265003</v>
      </c>
      <c r="E132">
        <f t="shared" si="4"/>
        <v>4435078293.0500917</v>
      </c>
      <c r="F132" s="21"/>
      <c r="G132" s="1"/>
      <c r="I132" s="21">
        <f t="shared" si="5"/>
        <v>66596.383483265003</v>
      </c>
    </row>
    <row r="133" spans="2:9" x14ac:dyDescent="0.3">
      <c r="B133" s="2">
        <v>426300</v>
      </c>
      <c r="C133" s="2">
        <v>408088.22651673498</v>
      </c>
      <c r="D133">
        <f t="shared" si="3"/>
        <v>18211.773483265017</v>
      </c>
      <c r="E133">
        <f t="shared" si="4"/>
        <v>331668693.4057548</v>
      </c>
      <c r="F133" s="21"/>
      <c r="G133" s="1"/>
      <c r="I133" s="21">
        <f t="shared" si="5"/>
        <v>18211.773483265017</v>
      </c>
    </row>
    <row r="134" spans="2:9" x14ac:dyDescent="0.3">
      <c r="B134" s="2">
        <v>430500</v>
      </c>
      <c r="C134" s="2">
        <v>364658.59151673497</v>
      </c>
      <c r="D134">
        <f t="shared" si="3"/>
        <v>65841.408483265026</v>
      </c>
      <c r="E134">
        <f t="shared" si="4"/>
        <v>4335091071.0601635</v>
      </c>
      <c r="F134" s="21"/>
      <c r="G134" s="1"/>
      <c r="I134" s="21">
        <f t="shared" si="5"/>
        <v>65841.408483265026</v>
      </c>
    </row>
    <row r="135" spans="2:9" x14ac:dyDescent="0.3">
      <c r="B135" s="2">
        <v>363300</v>
      </c>
      <c r="C135" s="2">
        <v>274418.746516735</v>
      </c>
      <c r="D135">
        <f t="shared" si="3"/>
        <v>88881.253483264998</v>
      </c>
      <c r="E135">
        <f t="shared" si="4"/>
        <v>7899877220.7564068</v>
      </c>
      <c r="F135" s="21"/>
      <c r="G135" s="1"/>
      <c r="I135" s="21">
        <f t="shared" si="5"/>
        <v>88881.253483264998</v>
      </c>
    </row>
    <row r="136" spans="2:9" x14ac:dyDescent="0.3">
      <c r="B136" s="2">
        <v>394800</v>
      </c>
      <c r="C136" s="2">
        <v>361357.41151673504</v>
      </c>
      <c r="D136">
        <f t="shared" si="3"/>
        <v>33442.588483264961</v>
      </c>
      <c r="E136">
        <f t="shared" si="4"/>
        <v>1118406724.4610062</v>
      </c>
      <c r="F136" s="21"/>
      <c r="G136" s="1"/>
      <c r="I136" s="21">
        <f t="shared" si="5"/>
        <v>33442.588483264961</v>
      </c>
    </row>
    <row r="137" spans="2:9" x14ac:dyDescent="0.3">
      <c r="B137" s="2">
        <v>449400</v>
      </c>
      <c r="C137" s="2">
        <v>400671.5965167351</v>
      </c>
      <c r="D137">
        <f t="shared" si="3"/>
        <v>48728.403483264905</v>
      </c>
      <c r="E137">
        <f t="shared" si="4"/>
        <v>2374457306.0278635</v>
      </c>
      <c r="F137" s="21"/>
      <c r="G137" s="1"/>
      <c r="I137" s="21">
        <f t="shared" si="5"/>
        <v>48728.403483264905</v>
      </c>
    </row>
    <row r="138" spans="2:9" x14ac:dyDescent="0.3">
      <c r="B138" s="2">
        <v>329700</v>
      </c>
      <c r="C138" s="2">
        <v>233312.80151673505</v>
      </c>
      <c r="D138">
        <f t="shared" si="3"/>
        <v>96387.198483264947</v>
      </c>
      <c r="E138">
        <f t="shared" si="4"/>
        <v>9290492031.4523125</v>
      </c>
      <c r="F138" s="21"/>
      <c r="G138" s="1"/>
      <c r="I138" s="21">
        <f t="shared" si="5"/>
        <v>96387.198483264947</v>
      </c>
    </row>
    <row r="139" spans="2:9" x14ac:dyDescent="0.3">
      <c r="B139" s="2">
        <v>340200</v>
      </c>
      <c r="C139" s="2">
        <v>308554.23151673499</v>
      </c>
      <c r="D139">
        <f t="shared" si="3"/>
        <v>31645.768483265012</v>
      </c>
      <c r="E139">
        <f t="shared" si="4"/>
        <v>1001454662.8964092</v>
      </c>
      <c r="F139" s="21"/>
      <c r="G139" s="1"/>
      <c r="I139" s="21">
        <f t="shared" si="5"/>
        <v>31645.768483265012</v>
      </c>
    </row>
    <row r="140" spans="2:9" x14ac:dyDescent="0.3">
      <c r="B140" s="2">
        <v>378000</v>
      </c>
      <c r="C140" s="2">
        <v>391967.40151673515</v>
      </c>
      <c r="D140">
        <f t="shared" si="3"/>
        <v>-13967.401516735146</v>
      </c>
      <c r="E140">
        <f t="shared" si="4"/>
        <v>195088305.12969527</v>
      </c>
      <c r="F140" s="21"/>
      <c r="G140" s="1"/>
      <c r="I140" s="21">
        <f t="shared" si="5"/>
        <v>13967.401516735146</v>
      </c>
    </row>
    <row r="141" spans="2:9" x14ac:dyDescent="0.3">
      <c r="B141" s="2">
        <v>300300</v>
      </c>
      <c r="C141" s="2">
        <v>291230.241516735</v>
      </c>
      <c r="D141">
        <f t="shared" ref="D141:D204" si="6">B141-C141</f>
        <v>9069.7584832650027</v>
      </c>
      <c r="E141">
        <f t="shared" ref="E141:E204" si="7">(D141)^2</f>
        <v>82260518.944757476</v>
      </c>
      <c r="F141" s="21"/>
      <c r="G141" s="1"/>
      <c r="I141" s="21">
        <f t="shared" ref="I141:I204" si="8">ABS(D141)</f>
        <v>9069.7584832650027</v>
      </c>
    </row>
    <row r="142" spans="2:9" x14ac:dyDescent="0.3">
      <c r="B142" s="2">
        <v>403200</v>
      </c>
      <c r="C142" s="2">
        <v>424573.366516735</v>
      </c>
      <c r="D142">
        <f t="shared" si="6"/>
        <v>-21373.366516734997</v>
      </c>
      <c r="E142">
        <f t="shared" si="7"/>
        <v>456820796.25868869</v>
      </c>
      <c r="F142" s="21"/>
      <c r="G142" s="1"/>
      <c r="I142" s="21">
        <f t="shared" si="8"/>
        <v>21373.366516734997</v>
      </c>
    </row>
    <row r="143" spans="2:9" x14ac:dyDescent="0.3">
      <c r="B143" s="2">
        <v>411600</v>
      </c>
      <c r="C143" s="2">
        <v>416835.44651673496</v>
      </c>
      <c r="D143">
        <f t="shared" si="6"/>
        <v>-5235.4465167349554</v>
      </c>
      <c r="E143">
        <f t="shared" si="7"/>
        <v>27409900.229592178</v>
      </c>
      <c r="F143" s="21"/>
      <c r="G143" s="1"/>
      <c r="I143" s="21">
        <f t="shared" si="8"/>
        <v>5235.4465167349554</v>
      </c>
    </row>
    <row r="144" spans="2:9" x14ac:dyDescent="0.3">
      <c r="B144" s="2">
        <v>483000</v>
      </c>
      <c r="C144" s="2">
        <v>433185.29651673493</v>
      </c>
      <c r="D144">
        <f t="shared" si="6"/>
        <v>49814.703483265068</v>
      </c>
      <c r="E144">
        <f t="shared" si="7"/>
        <v>2481504683.1256208</v>
      </c>
      <c r="F144" s="21"/>
      <c r="G144" s="1"/>
      <c r="I144" s="21">
        <f t="shared" si="8"/>
        <v>49814.703483265068</v>
      </c>
    </row>
    <row r="145" spans="2:9" x14ac:dyDescent="0.3">
      <c r="B145" s="2">
        <v>386400</v>
      </c>
      <c r="C145" s="2">
        <v>343154.95651673508</v>
      </c>
      <c r="D145">
        <f t="shared" si="6"/>
        <v>43245.043483264919</v>
      </c>
      <c r="E145">
        <f t="shared" si="7"/>
        <v>1870133785.8694737</v>
      </c>
      <c r="F145" s="21"/>
      <c r="G145" s="1"/>
      <c r="I145" s="21">
        <f t="shared" si="8"/>
        <v>43245.043483264919</v>
      </c>
    </row>
    <row r="146" spans="2:9" x14ac:dyDescent="0.3">
      <c r="B146" s="2">
        <v>327600</v>
      </c>
      <c r="C146" s="2">
        <v>312792.51151673513</v>
      </c>
      <c r="D146">
        <f t="shared" si="6"/>
        <v>14807.488483264868</v>
      </c>
      <c r="E146">
        <f t="shared" si="7"/>
        <v>219261715.18202168</v>
      </c>
      <c r="F146" s="21"/>
      <c r="G146" s="1"/>
      <c r="I146" s="21">
        <f t="shared" si="8"/>
        <v>14807.488483264868</v>
      </c>
    </row>
    <row r="147" spans="2:9" x14ac:dyDescent="0.3">
      <c r="B147" s="2">
        <v>380100</v>
      </c>
      <c r="C147" s="2">
        <v>366624.2315167351</v>
      </c>
      <c r="D147">
        <f t="shared" si="6"/>
        <v>13475.768483264896</v>
      </c>
      <c r="E147">
        <f t="shared" si="7"/>
        <v>181596336.21455547</v>
      </c>
      <c r="F147" s="21"/>
      <c r="G147" s="1"/>
      <c r="I147" s="21">
        <f t="shared" si="8"/>
        <v>13475.768483264896</v>
      </c>
    </row>
    <row r="148" spans="2:9" x14ac:dyDescent="0.3">
      <c r="B148" s="2">
        <v>365400</v>
      </c>
      <c r="C148" s="2">
        <v>333255.12651673512</v>
      </c>
      <c r="D148">
        <f t="shared" si="6"/>
        <v>32144.873483264877</v>
      </c>
      <c r="E148">
        <f t="shared" si="7"/>
        <v>1033292891.2551054</v>
      </c>
      <c r="F148" s="21"/>
      <c r="G148" s="1"/>
      <c r="I148" s="21">
        <f t="shared" si="8"/>
        <v>32144.873483264877</v>
      </c>
    </row>
    <row r="149" spans="2:9" x14ac:dyDescent="0.3">
      <c r="B149" s="2">
        <v>359100</v>
      </c>
      <c r="C149" s="2">
        <v>402637.59651673498</v>
      </c>
      <c r="D149">
        <f t="shared" si="6"/>
        <v>-43537.596516734979</v>
      </c>
      <c r="E149">
        <f t="shared" si="7"/>
        <v>1895522310.4540138</v>
      </c>
      <c r="F149" s="21"/>
      <c r="G149" s="1"/>
      <c r="I149" s="21">
        <f t="shared" si="8"/>
        <v>43537.596516734979</v>
      </c>
    </row>
    <row r="150" spans="2:9" x14ac:dyDescent="0.3">
      <c r="B150" s="2">
        <v>279300</v>
      </c>
      <c r="C150" s="2">
        <v>277944.52151673514</v>
      </c>
      <c r="D150">
        <f t="shared" si="6"/>
        <v>1355.4784832648584</v>
      </c>
      <c r="E150">
        <f t="shared" si="7"/>
        <v>1837321.9185940009</v>
      </c>
      <c r="F150" s="21"/>
      <c r="G150" s="1"/>
      <c r="I150" s="21">
        <f t="shared" si="8"/>
        <v>1355.4784832648584</v>
      </c>
    </row>
    <row r="151" spans="2:9" x14ac:dyDescent="0.3">
      <c r="B151" s="2">
        <v>373800</v>
      </c>
      <c r="C151" s="2">
        <v>334422.77151673491</v>
      </c>
      <c r="D151">
        <f t="shared" si="6"/>
        <v>39377.228483265091</v>
      </c>
      <c r="E151">
        <f t="shared" si="7"/>
        <v>1550566123.0232637</v>
      </c>
      <c r="F151" s="21"/>
      <c r="G151" s="1"/>
      <c r="I151" s="21">
        <f t="shared" si="8"/>
        <v>39377.228483265091</v>
      </c>
    </row>
    <row r="152" spans="2:9" x14ac:dyDescent="0.3">
      <c r="B152" s="2">
        <v>294000</v>
      </c>
      <c r="C152" s="2">
        <v>274574.46651673509</v>
      </c>
      <c r="D152">
        <f t="shared" si="6"/>
        <v>19425.53348326491</v>
      </c>
      <c r="E152">
        <f t="shared" si="7"/>
        <v>377351351.10944611</v>
      </c>
      <c r="F152" s="21"/>
      <c r="G152" s="1"/>
      <c r="I152" s="21">
        <f t="shared" si="8"/>
        <v>19425.53348326491</v>
      </c>
    </row>
    <row r="153" spans="2:9" x14ac:dyDescent="0.3">
      <c r="B153" s="2">
        <v>302400</v>
      </c>
      <c r="C153" s="2">
        <v>63389.641516735137</v>
      </c>
      <c r="D153">
        <f t="shared" si="6"/>
        <v>239010.35848326486</v>
      </c>
      <c r="E153">
        <f t="shared" si="7"/>
        <v>57125951462.298782</v>
      </c>
      <c r="F153" s="21"/>
      <c r="G153" s="1"/>
      <c r="I153" s="21">
        <f t="shared" si="8"/>
        <v>239010.35848326486</v>
      </c>
    </row>
    <row r="154" spans="2:9" x14ac:dyDescent="0.3">
      <c r="B154" s="2">
        <v>281400</v>
      </c>
      <c r="C154" s="2">
        <v>305672.51151673513</v>
      </c>
      <c r="D154">
        <f t="shared" si="6"/>
        <v>-24272.511516735132</v>
      </c>
      <c r="E154">
        <f t="shared" si="7"/>
        <v>589154815.33003962</v>
      </c>
      <c r="F154" s="21"/>
      <c r="G154" s="1"/>
      <c r="I154" s="21">
        <f t="shared" si="8"/>
        <v>24272.511516735132</v>
      </c>
    </row>
    <row r="155" spans="2:9" x14ac:dyDescent="0.3">
      <c r="B155" s="2">
        <v>327600</v>
      </c>
      <c r="C155" s="2">
        <v>315638.83651673509</v>
      </c>
      <c r="D155">
        <f t="shared" si="6"/>
        <v>11961.163483264914</v>
      </c>
      <c r="E155">
        <f t="shared" si="7"/>
        <v>143069431.87339005</v>
      </c>
      <c r="F155" s="21"/>
      <c r="G155" s="1"/>
      <c r="I155" s="21">
        <f t="shared" si="8"/>
        <v>11961.163483264914</v>
      </c>
    </row>
    <row r="156" spans="2:9" x14ac:dyDescent="0.3">
      <c r="B156" s="2">
        <v>247800</v>
      </c>
      <c r="C156" s="2">
        <v>235592.9815167351</v>
      </c>
      <c r="D156">
        <f t="shared" si="6"/>
        <v>12207.018483264896</v>
      </c>
      <c r="E156">
        <f t="shared" si="7"/>
        <v>149011300.25077081</v>
      </c>
      <c r="F156" s="21"/>
      <c r="G156" s="1"/>
      <c r="I156" s="21">
        <f t="shared" si="8"/>
        <v>12207.018483264896</v>
      </c>
    </row>
    <row r="157" spans="2:9" x14ac:dyDescent="0.3">
      <c r="B157" s="2">
        <v>289800</v>
      </c>
      <c r="C157" s="2">
        <v>357973.246516735</v>
      </c>
      <c r="D157">
        <f t="shared" si="6"/>
        <v>-68173.246516735002</v>
      </c>
      <c r="E157">
        <f t="shared" si="7"/>
        <v>4647591540.6315212</v>
      </c>
      <c r="F157" s="21"/>
      <c r="G157" s="1"/>
      <c r="I157" s="21">
        <f t="shared" si="8"/>
        <v>68173.246516735002</v>
      </c>
    </row>
    <row r="158" spans="2:9" x14ac:dyDescent="0.3">
      <c r="B158" s="2">
        <v>327600</v>
      </c>
      <c r="C158" s="2">
        <v>435483.96651673509</v>
      </c>
      <c r="D158">
        <f t="shared" si="6"/>
        <v>-107883.96651673509</v>
      </c>
      <c r="E158">
        <f t="shared" si="7"/>
        <v>11638950231.384018</v>
      </c>
      <c r="F158" s="21"/>
      <c r="G158" s="1"/>
      <c r="I158" s="21">
        <f t="shared" si="8"/>
        <v>107883.96651673509</v>
      </c>
    </row>
    <row r="159" spans="2:9" x14ac:dyDescent="0.3">
      <c r="B159" s="2">
        <v>306600</v>
      </c>
      <c r="C159" s="2">
        <v>234980.21651673503</v>
      </c>
      <c r="D159">
        <f t="shared" si="6"/>
        <v>71619.783483264968</v>
      </c>
      <c r="E159">
        <f t="shared" si="7"/>
        <v>5129393386.1897535</v>
      </c>
      <c r="F159" s="21"/>
      <c r="G159" s="1"/>
      <c r="I159" s="21">
        <f t="shared" si="8"/>
        <v>71619.783483264968</v>
      </c>
    </row>
    <row r="160" spans="2:9" x14ac:dyDescent="0.3">
      <c r="B160" s="2">
        <v>373800</v>
      </c>
      <c r="C160" s="2">
        <v>270614.40651673515</v>
      </c>
      <c r="D160">
        <f t="shared" si="6"/>
        <v>103185.59348326485</v>
      </c>
      <c r="E160">
        <f t="shared" si="7"/>
        <v>10647266702.493589</v>
      </c>
      <c r="F160" s="21"/>
      <c r="G160" s="1"/>
      <c r="I160" s="21">
        <f t="shared" si="8"/>
        <v>103185.59348326485</v>
      </c>
    </row>
    <row r="161" spans="2:9" x14ac:dyDescent="0.3">
      <c r="B161" s="2">
        <v>323400</v>
      </c>
      <c r="C161" s="2">
        <v>380725.25151673512</v>
      </c>
      <c r="D161">
        <f t="shared" si="6"/>
        <v>-57325.251516735123</v>
      </c>
      <c r="E161">
        <f t="shared" si="7"/>
        <v>3286184461.4569426</v>
      </c>
      <c r="F161" s="21"/>
      <c r="G161" s="1"/>
      <c r="I161" s="21">
        <f t="shared" si="8"/>
        <v>57325.251516735123</v>
      </c>
    </row>
    <row r="162" spans="2:9" x14ac:dyDescent="0.3">
      <c r="B162" s="2">
        <v>451500</v>
      </c>
      <c r="C162" s="2">
        <v>505912.02651673491</v>
      </c>
      <c r="D162">
        <f t="shared" si="6"/>
        <v>-54412.026516734913</v>
      </c>
      <c r="E162">
        <f t="shared" si="7"/>
        <v>2960668629.6578631</v>
      </c>
      <c r="F162" s="21"/>
      <c r="G162" s="1"/>
      <c r="I162" s="21">
        <f t="shared" si="8"/>
        <v>54412.026516734913</v>
      </c>
    </row>
    <row r="163" spans="2:9" x14ac:dyDescent="0.3">
      <c r="B163" s="2">
        <v>411600</v>
      </c>
      <c r="C163" s="2">
        <v>452654.53651673504</v>
      </c>
      <c r="D163">
        <f t="shared" si="6"/>
        <v>-41054.536516735039</v>
      </c>
      <c r="E163">
        <f t="shared" si="7"/>
        <v>1685474968.6039307</v>
      </c>
      <c r="F163" s="21"/>
      <c r="G163" s="1"/>
      <c r="I163" s="21">
        <f t="shared" si="8"/>
        <v>41054.536516735039</v>
      </c>
    </row>
    <row r="164" spans="2:9" x14ac:dyDescent="0.3">
      <c r="B164" s="2">
        <v>321300</v>
      </c>
      <c r="C164" s="2">
        <v>431305.89651673503</v>
      </c>
      <c r="D164">
        <f t="shared" si="6"/>
        <v>-110005.89651673503</v>
      </c>
      <c r="E164">
        <f t="shared" si="7"/>
        <v>12101297268.450615</v>
      </c>
      <c r="F164" s="21"/>
      <c r="G164" s="1"/>
      <c r="I164" s="21">
        <f t="shared" si="8"/>
        <v>110005.89651673503</v>
      </c>
    </row>
    <row r="165" spans="2:9" x14ac:dyDescent="0.3">
      <c r="B165" s="2">
        <v>407400</v>
      </c>
      <c r="C165" s="2">
        <v>451825.871516735</v>
      </c>
      <c r="D165">
        <f t="shared" si="6"/>
        <v>-44425.871516735002</v>
      </c>
      <c r="E165">
        <f t="shared" si="7"/>
        <v>1973658060.0214462</v>
      </c>
      <c r="F165" s="21"/>
      <c r="G165" s="1"/>
      <c r="I165" s="21">
        <f t="shared" si="8"/>
        <v>44425.871516735002</v>
      </c>
    </row>
    <row r="166" spans="2:9" x14ac:dyDescent="0.3">
      <c r="B166" s="2">
        <v>357000</v>
      </c>
      <c r="C166" s="2">
        <v>495452.00151673501</v>
      </c>
      <c r="D166">
        <f t="shared" si="6"/>
        <v>-138452.00151673501</v>
      </c>
      <c r="E166">
        <f t="shared" si="7"/>
        <v>19168956723.989994</v>
      </c>
      <c r="F166" s="21"/>
      <c r="G166" s="1"/>
      <c r="I166" s="21">
        <f t="shared" si="8"/>
        <v>138452.00151673501</v>
      </c>
    </row>
    <row r="167" spans="2:9" x14ac:dyDescent="0.3">
      <c r="B167" s="2">
        <v>327600</v>
      </c>
      <c r="C167" s="2">
        <v>498527.89651673514</v>
      </c>
      <c r="D167">
        <f t="shared" si="6"/>
        <v>-170927.89651673514</v>
      </c>
      <c r="E167">
        <f t="shared" si="7"/>
        <v>29216345807.635715</v>
      </c>
      <c r="F167" s="21"/>
      <c r="G167" s="1"/>
      <c r="I167" s="21">
        <f t="shared" si="8"/>
        <v>170927.89651673514</v>
      </c>
    </row>
    <row r="168" spans="2:9" x14ac:dyDescent="0.3">
      <c r="B168" s="2">
        <v>275100</v>
      </c>
      <c r="C168" s="2">
        <v>410199.81651673507</v>
      </c>
      <c r="D168">
        <f t="shared" si="6"/>
        <v>-135099.81651673507</v>
      </c>
      <c r="E168">
        <f t="shared" si="7"/>
        <v>18251960422.85548</v>
      </c>
      <c r="F168" s="21"/>
      <c r="G168" s="1"/>
      <c r="I168" s="21">
        <f t="shared" si="8"/>
        <v>135099.81651673507</v>
      </c>
    </row>
    <row r="169" spans="2:9" x14ac:dyDescent="0.3">
      <c r="B169" s="2">
        <v>867300</v>
      </c>
      <c r="C169" s="2">
        <v>680155.88151673484</v>
      </c>
      <c r="D169">
        <f t="shared" si="6"/>
        <v>187144.11848326516</v>
      </c>
      <c r="E169">
        <f t="shared" si="7"/>
        <v>35022921082.878387</v>
      </c>
      <c r="F169" s="21"/>
      <c r="G169" s="1"/>
      <c r="I169" s="21">
        <f t="shared" si="8"/>
        <v>187144.11848326516</v>
      </c>
    </row>
    <row r="170" spans="2:9" x14ac:dyDescent="0.3">
      <c r="B170" s="2">
        <v>510300</v>
      </c>
      <c r="C170" s="2">
        <v>584276.21651673503</v>
      </c>
      <c r="D170">
        <f t="shared" si="6"/>
        <v>-73976.216516735032</v>
      </c>
      <c r="E170">
        <f t="shared" si="7"/>
        <v>5472480610.1308613</v>
      </c>
      <c r="F170" s="21"/>
      <c r="G170" s="1"/>
      <c r="I170" s="21">
        <f t="shared" si="8"/>
        <v>73976.216516735032</v>
      </c>
    </row>
    <row r="171" spans="2:9" x14ac:dyDescent="0.3">
      <c r="B171" s="2">
        <v>489300</v>
      </c>
      <c r="C171" s="2">
        <v>612296.0365167351</v>
      </c>
      <c r="D171">
        <f t="shared" si="6"/>
        <v>-122996.0365167351</v>
      </c>
      <c r="E171">
        <f t="shared" si="7"/>
        <v>15128024998.826033</v>
      </c>
      <c r="F171" s="21"/>
      <c r="G171" s="1"/>
      <c r="I171" s="21">
        <f t="shared" si="8"/>
        <v>122996.0365167351</v>
      </c>
    </row>
    <row r="172" spans="2:9" x14ac:dyDescent="0.3">
      <c r="B172" s="2">
        <v>567000</v>
      </c>
      <c r="C172" s="2">
        <v>610293.74651673506</v>
      </c>
      <c r="D172">
        <f t="shared" si="6"/>
        <v>-43293.74651673506</v>
      </c>
      <c r="E172">
        <f t="shared" si="7"/>
        <v>1874348487.4553092</v>
      </c>
      <c r="F172" s="21"/>
      <c r="G172" s="1"/>
      <c r="I172" s="21">
        <f t="shared" si="8"/>
        <v>43293.74651673506</v>
      </c>
    </row>
    <row r="173" spans="2:9" x14ac:dyDescent="0.3">
      <c r="B173" s="2">
        <v>476700</v>
      </c>
      <c r="C173" s="2">
        <v>509401.14651673503</v>
      </c>
      <c r="D173">
        <f t="shared" si="6"/>
        <v>-32701.146516735025</v>
      </c>
      <c r="E173">
        <f t="shared" si="7"/>
        <v>1069364983.5089712</v>
      </c>
      <c r="F173" s="21"/>
      <c r="G173" s="1"/>
      <c r="I173" s="21">
        <f t="shared" si="8"/>
        <v>32701.146516735025</v>
      </c>
    </row>
    <row r="174" spans="2:9" x14ac:dyDescent="0.3">
      <c r="B174" s="2">
        <v>525000</v>
      </c>
      <c r="C174" s="2">
        <v>550636.37151673506</v>
      </c>
      <c r="D174">
        <f t="shared" si="6"/>
        <v>-25636.37151673506</v>
      </c>
      <c r="E174">
        <f t="shared" si="7"/>
        <v>657223544.54406464</v>
      </c>
      <c r="F174" s="21"/>
      <c r="G174" s="1"/>
      <c r="I174" s="21">
        <f t="shared" si="8"/>
        <v>25636.37151673506</v>
      </c>
    </row>
    <row r="175" spans="2:9" x14ac:dyDescent="0.3">
      <c r="B175" s="2">
        <v>499800</v>
      </c>
      <c r="C175" s="2">
        <v>505967.64151673514</v>
      </c>
      <c r="D175">
        <f t="shared" si="6"/>
        <v>-6167.641516735137</v>
      </c>
      <c r="E175">
        <f t="shared" si="7"/>
        <v>38039801.878954902</v>
      </c>
      <c r="F175" s="21"/>
      <c r="G175" s="1"/>
      <c r="I175" s="21">
        <f t="shared" si="8"/>
        <v>6167.641516735137</v>
      </c>
    </row>
    <row r="176" spans="2:9" x14ac:dyDescent="0.3">
      <c r="B176" s="2">
        <v>499800</v>
      </c>
      <c r="C176" s="2">
        <v>555512.33151673502</v>
      </c>
      <c r="D176">
        <f t="shared" si="6"/>
        <v>-55712.331516735023</v>
      </c>
      <c r="E176">
        <f t="shared" si="7"/>
        <v>3103863883.0305867</v>
      </c>
      <c r="F176" s="21"/>
      <c r="G176" s="1"/>
      <c r="I176" s="21">
        <f t="shared" si="8"/>
        <v>55712.331516735023</v>
      </c>
    </row>
    <row r="177" spans="2:9" x14ac:dyDescent="0.3">
      <c r="B177" s="2">
        <v>468300</v>
      </c>
      <c r="C177" s="2">
        <v>560310.44651673501</v>
      </c>
      <c r="D177">
        <f t="shared" si="6"/>
        <v>-92010.446516735014</v>
      </c>
      <c r="E177">
        <f t="shared" si="7"/>
        <v>8465922268.2089548</v>
      </c>
      <c r="F177" s="21"/>
      <c r="G177" s="1"/>
      <c r="I177" s="21">
        <f t="shared" si="8"/>
        <v>92010.446516735014</v>
      </c>
    </row>
    <row r="178" spans="2:9" x14ac:dyDescent="0.3">
      <c r="B178" s="2">
        <v>365400</v>
      </c>
      <c r="C178" s="2">
        <v>480950.30151673494</v>
      </c>
      <c r="D178">
        <f t="shared" si="6"/>
        <v>-115550.30151673494</v>
      </c>
      <c r="E178">
        <f t="shared" si="7"/>
        <v>13351872180.608356</v>
      </c>
      <c r="F178" s="21"/>
      <c r="G178" s="1"/>
      <c r="I178" s="21">
        <f t="shared" si="8"/>
        <v>115550.30151673494</v>
      </c>
    </row>
    <row r="179" spans="2:9" x14ac:dyDescent="0.3">
      <c r="B179" s="2">
        <v>401100</v>
      </c>
      <c r="C179" s="2">
        <v>507420.7265167351</v>
      </c>
      <c r="D179">
        <f t="shared" si="6"/>
        <v>-106320.7265167351</v>
      </c>
      <c r="E179">
        <f t="shared" si="7"/>
        <v>11304096887.046379</v>
      </c>
      <c r="F179" s="21"/>
      <c r="G179" s="1"/>
      <c r="I179" s="21">
        <f t="shared" si="8"/>
        <v>106320.7265167351</v>
      </c>
    </row>
    <row r="180" spans="2:9" x14ac:dyDescent="0.3">
      <c r="B180" s="2">
        <v>485100</v>
      </c>
      <c r="C180" s="2">
        <v>414865.56651673507</v>
      </c>
      <c r="D180">
        <f t="shared" si="6"/>
        <v>70234.433483264933</v>
      </c>
      <c r="E180">
        <f t="shared" si="7"/>
        <v>4932875646.7151661</v>
      </c>
      <c r="F180" s="21"/>
      <c r="G180" s="1"/>
      <c r="I180" s="21">
        <f t="shared" si="8"/>
        <v>70234.433483264933</v>
      </c>
    </row>
    <row r="181" spans="2:9" x14ac:dyDescent="0.3">
      <c r="B181" s="2">
        <v>495600</v>
      </c>
      <c r="C181" s="2">
        <v>549223.27651673509</v>
      </c>
      <c r="D181">
        <f t="shared" si="6"/>
        <v>-53623.276516735088</v>
      </c>
      <c r="E181">
        <f t="shared" si="7"/>
        <v>2875455784.3902326</v>
      </c>
      <c r="F181" s="21"/>
      <c r="G181" s="1"/>
      <c r="I181" s="21">
        <f t="shared" si="8"/>
        <v>53623.276516735088</v>
      </c>
    </row>
    <row r="182" spans="2:9" x14ac:dyDescent="0.3">
      <c r="B182" s="2">
        <v>474600</v>
      </c>
      <c r="C182" s="2">
        <v>494497.17151673505</v>
      </c>
      <c r="D182">
        <f t="shared" si="6"/>
        <v>-19897.171516735048</v>
      </c>
      <c r="E182">
        <f t="shared" si="7"/>
        <v>395897434.36637253</v>
      </c>
      <c r="F182" s="21"/>
      <c r="G182" s="1"/>
      <c r="I182" s="21">
        <f t="shared" si="8"/>
        <v>19897.171516735048</v>
      </c>
    </row>
    <row r="183" spans="2:9" x14ac:dyDescent="0.3">
      <c r="B183" s="2">
        <v>617400</v>
      </c>
      <c r="C183" s="2">
        <v>600726.51651673485</v>
      </c>
      <c r="D183">
        <f t="shared" si="6"/>
        <v>16673.483483265154</v>
      </c>
      <c r="E183">
        <f t="shared" si="7"/>
        <v>278005051.46671587</v>
      </c>
      <c r="F183" s="21"/>
      <c r="G183" s="1"/>
      <c r="I183" s="21">
        <f t="shared" si="8"/>
        <v>16673.483483265154</v>
      </c>
    </row>
    <row r="184" spans="2:9" x14ac:dyDescent="0.3">
      <c r="B184" s="2">
        <v>487200</v>
      </c>
      <c r="C184" s="2">
        <v>503335.10651673499</v>
      </c>
      <c r="D184">
        <f t="shared" si="6"/>
        <v>-16135.106516734988</v>
      </c>
      <c r="E184">
        <f t="shared" si="7"/>
        <v>260341662.30638388</v>
      </c>
      <c r="F184" s="21"/>
      <c r="G184" s="1"/>
      <c r="I184" s="21">
        <f t="shared" si="8"/>
        <v>16135.106516734988</v>
      </c>
    </row>
    <row r="185" spans="2:9" x14ac:dyDescent="0.3">
      <c r="B185" s="2">
        <v>516600</v>
      </c>
      <c r="C185" s="2">
        <v>570314.96151673514</v>
      </c>
      <c r="D185">
        <f t="shared" si="6"/>
        <v>-53714.961516735144</v>
      </c>
      <c r="E185">
        <f t="shared" si="7"/>
        <v>2885297090.7443376</v>
      </c>
      <c r="F185" s="21"/>
      <c r="G185" s="1"/>
      <c r="I185" s="21">
        <f t="shared" si="8"/>
        <v>53714.961516735144</v>
      </c>
    </row>
    <row r="186" spans="2:9" x14ac:dyDescent="0.3">
      <c r="B186" s="2">
        <v>627900</v>
      </c>
      <c r="C186" s="2">
        <v>610658.01651673508</v>
      </c>
      <c r="D186">
        <f t="shared" si="6"/>
        <v>17241.983483264921</v>
      </c>
      <c r="E186">
        <f t="shared" si="7"/>
        <v>297285994.43718034</v>
      </c>
      <c r="F186" s="21"/>
      <c r="G186" s="1"/>
      <c r="I186" s="21">
        <f t="shared" si="8"/>
        <v>17241.983483264921</v>
      </c>
    </row>
    <row r="187" spans="2:9" x14ac:dyDescent="0.3">
      <c r="B187" s="2">
        <v>781200</v>
      </c>
      <c r="C187" s="2">
        <v>618051.5365167351</v>
      </c>
      <c r="D187">
        <f t="shared" si="6"/>
        <v>163148.4634832649</v>
      </c>
      <c r="E187">
        <f t="shared" si="7"/>
        <v>26617421136.950222</v>
      </c>
      <c r="F187" s="21"/>
      <c r="G187" s="1"/>
      <c r="I187" s="21">
        <f t="shared" si="8"/>
        <v>163148.4634832649</v>
      </c>
    </row>
    <row r="188" spans="2:9" x14ac:dyDescent="0.3">
      <c r="B188" s="2">
        <v>835800</v>
      </c>
      <c r="C188" s="2">
        <v>658665.58151673502</v>
      </c>
      <c r="D188">
        <f t="shared" si="6"/>
        <v>177134.41848326498</v>
      </c>
      <c r="E188">
        <f t="shared" si="7"/>
        <v>31376602211.404446</v>
      </c>
      <c r="F188" s="21"/>
      <c r="G188" s="1"/>
      <c r="I188" s="21">
        <f t="shared" si="8"/>
        <v>177134.41848326498</v>
      </c>
    </row>
    <row r="189" spans="2:9" x14ac:dyDescent="0.3">
      <c r="B189" s="2">
        <v>760200</v>
      </c>
      <c r="C189" s="2">
        <v>497839.10651673499</v>
      </c>
      <c r="D189">
        <f t="shared" si="6"/>
        <v>262360.89348326501</v>
      </c>
      <c r="E189">
        <f t="shared" si="7"/>
        <v>68833238429.337128</v>
      </c>
      <c r="F189" s="21"/>
      <c r="G189" s="1"/>
      <c r="I189" s="21">
        <f t="shared" si="8"/>
        <v>262360.89348326501</v>
      </c>
    </row>
    <row r="190" spans="2:9" x14ac:dyDescent="0.3">
      <c r="B190" s="2">
        <v>795900</v>
      </c>
      <c r="C190" s="2">
        <v>635587.19151673513</v>
      </c>
      <c r="D190">
        <f t="shared" si="6"/>
        <v>160312.80848326487</v>
      </c>
      <c r="E190">
        <f t="shared" si="7"/>
        <v>25700196563.791962</v>
      </c>
      <c r="F190" s="21"/>
      <c r="G190" s="1"/>
      <c r="I190" s="21">
        <f t="shared" si="8"/>
        <v>160312.80848326487</v>
      </c>
    </row>
    <row r="191" spans="2:9" x14ac:dyDescent="0.3">
      <c r="B191" s="2">
        <v>682500</v>
      </c>
      <c r="C191" s="2">
        <v>575010.57151673501</v>
      </c>
      <c r="D191">
        <f t="shared" si="6"/>
        <v>107489.42848326499</v>
      </c>
      <c r="E191">
        <f t="shared" si="7"/>
        <v>11553977235.658937</v>
      </c>
      <c r="F191" s="21"/>
      <c r="G191" s="1"/>
      <c r="I191" s="21">
        <f t="shared" si="8"/>
        <v>107489.42848326499</v>
      </c>
    </row>
    <row r="192" spans="2:9" x14ac:dyDescent="0.3">
      <c r="B192" s="2">
        <v>554400</v>
      </c>
      <c r="C192" s="2">
        <v>401948.03651673492</v>
      </c>
      <c r="D192">
        <f t="shared" si="6"/>
        <v>152451.96348326508</v>
      </c>
      <c r="E192">
        <f t="shared" si="7"/>
        <v>23241601169.90279</v>
      </c>
      <c r="F192" s="21"/>
      <c r="G192" s="1"/>
      <c r="I192" s="21">
        <f t="shared" si="8"/>
        <v>152451.96348326508</v>
      </c>
    </row>
    <row r="193" spans="2:9" x14ac:dyDescent="0.3">
      <c r="B193" s="2">
        <v>621600</v>
      </c>
      <c r="C193" s="2">
        <v>458476.89151673502</v>
      </c>
      <c r="D193">
        <f t="shared" si="6"/>
        <v>163123.10848326498</v>
      </c>
      <c r="E193">
        <f t="shared" si="7"/>
        <v>26609148521.243034</v>
      </c>
      <c r="F193" s="21"/>
      <c r="G193" s="1"/>
      <c r="I193" s="21">
        <f t="shared" si="8"/>
        <v>163123.10848326498</v>
      </c>
    </row>
    <row r="194" spans="2:9" x14ac:dyDescent="0.3">
      <c r="B194" s="2">
        <v>672000</v>
      </c>
      <c r="C194" s="2">
        <v>633798.50651673507</v>
      </c>
      <c r="D194">
        <f t="shared" si="6"/>
        <v>38201.493483264931</v>
      </c>
      <c r="E194">
        <f t="shared" si="7"/>
        <v>1459354104.351933</v>
      </c>
      <c r="F194" s="21"/>
      <c r="G194" s="1"/>
      <c r="I194" s="21">
        <f t="shared" si="8"/>
        <v>38201.493483264931</v>
      </c>
    </row>
    <row r="195" spans="2:9" x14ac:dyDescent="0.3">
      <c r="B195" s="2">
        <v>625800</v>
      </c>
      <c r="C195" s="2">
        <v>637234.69651673525</v>
      </c>
      <c r="D195">
        <f t="shared" si="6"/>
        <v>-11434.696516735246</v>
      </c>
      <c r="E195">
        <f t="shared" si="7"/>
        <v>130752284.42983718</v>
      </c>
      <c r="F195" s="21"/>
      <c r="G195" s="1"/>
      <c r="I195" s="21">
        <f t="shared" si="8"/>
        <v>11434.696516735246</v>
      </c>
    </row>
    <row r="196" spans="2:9" x14ac:dyDescent="0.3">
      <c r="B196" s="2">
        <v>732900</v>
      </c>
      <c r="C196" s="2">
        <v>682679.4115167351</v>
      </c>
      <c r="D196">
        <f t="shared" si="6"/>
        <v>50220.588483264903</v>
      </c>
      <c r="E196">
        <f t="shared" si="7"/>
        <v>2522107507.6054392</v>
      </c>
      <c r="F196" s="21"/>
      <c r="G196" s="1"/>
      <c r="I196" s="21">
        <f t="shared" si="8"/>
        <v>50220.588483264903</v>
      </c>
    </row>
    <row r="197" spans="2:9" x14ac:dyDescent="0.3">
      <c r="B197" s="2">
        <v>777000</v>
      </c>
      <c r="C197" s="2">
        <v>665569.41151673486</v>
      </c>
      <c r="D197">
        <f t="shared" si="6"/>
        <v>111430.58848326514</v>
      </c>
      <c r="E197">
        <f t="shared" si="7"/>
        <v>12416776049.72678</v>
      </c>
      <c r="F197" s="21"/>
      <c r="G197" s="1"/>
      <c r="I197" s="21">
        <f t="shared" si="8"/>
        <v>111430.58848326514</v>
      </c>
    </row>
    <row r="198" spans="2:9" x14ac:dyDescent="0.3">
      <c r="B198" s="2">
        <v>640500</v>
      </c>
      <c r="C198" s="2">
        <v>651665.72151673515</v>
      </c>
      <c r="D198">
        <f t="shared" si="6"/>
        <v>-11165.721516735153</v>
      </c>
      <c r="E198">
        <f t="shared" si="7"/>
        <v>124673336.98928237</v>
      </c>
      <c r="F198" s="21"/>
      <c r="G198" s="1"/>
      <c r="I198" s="21">
        <f t="shared" si="8"/>
        <v>11165.721516735153</v>
      </c>
    </row>
    <row r="199" spans="2:9" x14ac:dyDescent="0.3">
      <c r="B199" s="2">
        <v>764400</v>
      </c>
      <c r="C199" s="2">
        <v>709412.936516735</v>
      </c>
      <c r="D199">
        <f t="shared" si="6"/>
        <v>54987.063483264996</v>
      </c>
      <c r="E199">
        <f t="shared" si="7"/>
        <v>3023577150.5126147</v>
      </c>
      <c r="F199" s="21"/>
      <c r="G199" s="1"/>
      <c r="I199" s="21">
        <f t="shared" si="8"/>
        <v>54987.063483264996</v>
      </c>
    </row>
    <row r="200" spans="2:9" x14ac:dyDescent="0.3">
      <c r="B200" s="2">
        <v>653100</v>
      </c>
      <c r="C200" s="2">
        <v>645460.72651673504</v>
      </c>
      <c r="D200">
        <f t="shared" si="6"/>
        <v>7639.2734832649585</v>
      </c>
      <c r="E200">
        <f t="shared" si="7"/>
        <v>58358499.352115132</v>
      </c>
      <c r="F200" s="21"/>
      <c r="G200" s="1"/>
      <c r="I200" s="21">
        <f t="shared" si="8"/>
        <v>7639.2734832649585</v>
      </c>
    </row>
    <row r="201" spans="2:9" x14ac:dyDescent="0.3">
      <c r="B201" s="2">
        <v>611100</v>
      </c>
      <c r="C201" s="2">
        <v>635545.83651673491</v>
      </c>
      <c r="D201">
        <f t="shared" si="6"/>
        <v>-24445.836516734911</v>
      </c>
      <c r="E201">
        <f t="shared" si="7"/>
        <v>597598923.00293005</v>
      </c>
      <c r="F201" s="21"/>
      <c r="G201" s="1"/>
      <c r="I201" s="21">
        <f t="shared" si="8"/>
        <v>24445.836516734911</v>
      </c>
    </row>
    <row r="202" spans="2:9" x14ac:dyDescent="0.3">
      <c r="B202" s="2">
        <v>699300</v>
      </c>
      <c r="C202" s="2">
        <v>756400.431516735</v>
      </c>
      <c r="D202">
        <f t="shared" si="6"/>
        <v>-57100.431516735</v>
      </c>
      <c r="E202">
        <f t="shared" si="7"/>
        <v>3260459279.3973436</v>
      </c>
      <c r="F202" s="21"/>
      <c r="G202" s="1"/>
      <c r="I202" s="21">
        <f t="shared" si="8"/>
        <v>57100.431516735</v>
      </c>
    </row>
    <row r="203" spans="2:9" x14ac:dyDescent="0.3">
      <c r="B203" s="2">
        <v>636300</v>
      </c>
      <c r="C203" s="2">
        <v>691672.76151673507</v>
      </c>
      <c r="D203">
        <f t="shared" si="6"/>
        <v>-55372.761516735074</v>
      </c>
      <c r="E203">
        <f t="shared" si="7"/>
        <v>3066142717.9892168</v>
      </c>
      <c r="F203" s="21"/>
      <c r="G203" s="1"/>
      <c r="I203" s="21">
        <f t="shared" si="8"/>
        <v>55372.761516735074</v>
      </c>
    </row>
    <row r="204" spans="2:9" x14ac:dyDescent="0.3">
      <c r="B204" s="2">
        <v>726600</v>
      </c>
      <c r="C204" s="2">
        <v>727718.62651673506</v>
      </c>
      <c r="D204">
        <f t="shared" si="6"/>
        <v>-1118.6265167350648</v>
      </c>
      <c r="E204">
        <f t="shared" si="7"/>
        <v>1251325.2839428242</v>
      </c>
      <c r="F204" s="21"/>
      <c r="G204" s="1"/>
      <c r="I204" s="21">
        <f t="shared" si="8"/>
        <v>1118.6265167350648</v>
      </c>
    </row>
    <row r="205" spans="2:9" x14ac:dyDescent="0.3">
      <c r="B205" s="2">
        <v>732900</v>
      </c>
      <c r="C205" s="2">
        <v>638419.83151673502</v>
      </c>
      <c r="D205">
        <f t="shared" ref="D205:D268" si="9">B205-C205</f>
        <v>94480.168483264977</v>
      </c>
      <c r="E205">
        <f t="shared" ref="E205:E268" si="10">(D205)^2</f>
        <v>8926502236.6261368</v>
      </c>
      <c r="F205" s="21"/>
      <c r="G205" s="1"/>
      <c r="I205" s="21">
        <f t="shared" ref="I205:I268" si="11">ABS(D205)</f>
        <v>94480.168483264977</v>
      </c>
    </row>
    <row r="206" spans="2:9" x14ac:dyDescent="0.3">
      <c r="B206" s="2">
        <v>690900</v>
      </c>
      <c r="C206" s="2">
        <v>653463.62151673506</v>
      </c>
      <c r="D206">
        <f t="shared" si="9"/>
        <v>37436.37848326494</v>
      </c>
      <c r="E206">
        <f t="shared" si="10"/>
        <v>1401482433.9422622</v>
      </c>
      <c r="F206" s="21"/>
      <c r="G206" s="1"/>
      <c r="I206" s="21">
        <f t="shared" si="11"/>
        <v>37436.37848326494</v>
      </c>
    </row>
    <row r="207" spans="2:9" x14ac:dyDescent="0.3">
      <c r="B207" s="2">
        <v>506100</v>
      </c>
      <c r="C207" s="2">
        <v>581737.45651673502</v>
      </c>
      <c r="D207">
        <f t="shared" si="9"/>
        <v>-75637.456516735023</v>
      </c>
      <c r="E207">
        <f t="shared" si="10"/>
        <v>5721024828.320981</v>
      </c>
      <c r="F207" s="21"/>
      <c r="G207" s="1"/>
      <c r="I207" s="21">
        <f t="shared" si="11"/>
        <v>75637.456516735023</v>
      </c>
    </row>
    <row r="208" spans="2:9" x14ac:dyDescent="0.3">
      <c r="B208" s="2">
        <v>888300</v>
      </c>
      <c r="C208" s="2">
        <v>753951.25651673507</v>
      </c>
      <c r="D208">
        <f t="shared" si="9"/>
        <v>134348.74348326493</v>
      </c>
      <c r="E208">
        <f t="shared" si="10"/>
        <v>18049584875.53212</v>
      </c>
      <c r="F208" s="21"/>
      <c r="G208" s="1"/>
      <c r="I208" s="21">
        <f t="shared" si="11"/>
        <v>134348.74348326493</v>
      </c>
    </row>
    <row r="209" spans="2:9" x14ac:dyDescent="0.3">
      <c r="B209" s="2">
        <v>1018500</v>
      </c>
      <c r="C209" s="2">
        <v>767392.25151673518</v>
      </c>
      <c r="D209">
        <f t="shared" si="9"/>
        <v>251107.74848326482</v>
      </c>
      <c r="E209">
        <f t="shared" si="10"/>
        <v>63055101348.334587</v>
      </c>
      <c r="F209" s="21"/>
      <c r="G209" s="1"/>
      <c r="I209" s="21">
        <f t="shared" si="11"/>
        <v>251107.74848326482</v>
      </c>
    </row>
    <row r="210" spans="2:9" x14ac:dyDescent="0.3">
      <c r="B210" s="2">
        <v>474600</v>
      </c>
      <c r="C210" s="2">
        <v>444938.98151673499</v>
      </c>
      <c r="D210">
        <f t="shared" si="9"/>
        <v>29661.018483265012</v>
      </c>
      <c r="E210">
        <f t="shared" si="10"/>
        <v>879776017.46458864</v>
      </c>
      <c r="F210" s="21"/>
      <c r="G210" s="1"/>
      <c r="I210" s="21">
        <f t="shared" si="11"/>
        <v>29661.018483265012</v>
      </c>
    </row>
    <row r="211" spans="2:9" x14ac:dyDescent="0.3">
      <c r="B211" s="2">
        <v>512400</v>
      </c>
      <c r="C211" s="2">
        <v>481509.85651673487</v>
      </c>
      <c r="D211">
        <f t="shared" si="9"/>
        <v>30890.143483265128</v>
      </c>
      <c r="E211">
        <f t="shared" si="10"/>
        <v>954200964.41670704</v>
      </c>
      <c r="F211" s="21"/>
      <c r="G211" s="1"/>
      <c r="I211" s="21">
        <f t="shared" si="11"/>
        <v>30890.143483265128</v>
      </c>
    </row>
    <row r="212" spans="2:9" x14ac:dyDescent="0.3">
      <c r="B212" s="2">
        <v>472500</v>
      </c>
      <c r="C212" s="2">
        <v>357585.65151673503</v>
      </c>
      <c r="D212">
        <f t="shared" si="9"/>
        <v>114914.34848326497</v>
      </c>
      <c r="E212">
        <f t="shared" si="10"/>
        <v>13205307487.333261</v>
      </c>
      <c r="F212" s="21"/>
      <c r="G212" s="1"/>
      <c r="I212" s="21">
        <f t="shared" si="11"/>
        <v>114914.34848326497</v>
      </c>
    </row>
    <row r="213" spans="2:9" x14ac:dyDescent="0.3">
      <c r="B213" s="2">
        <v>512400</v>
      </c>
      <c r="C213" s="2">
        <v>418797.01651673514</v>
      </c>
      <c r="D213">
        <f t="shared" si="9"/>
        <v>93602.983483264863</v>
      </c>
      <c r="E213">
        <f t="shared" si="10"/>
        <v>8761518516.9683552</v>
      </c>
      <c r="F213" s="21"/>
      <c r="G213" s="1"/>
      <c r="I213" s="21">
        <f t="shared" si="11"/>
        <v>93602.983483264863</v>
      </c>
    </row>
    <row r="214" spans="2:9" x14ac:dyDescent="0.3">
      <c r="B214" s="2">
        <v>420000</v>
      </c>
      <c r="C214" s="2">
        <v>265013.14651673503</v>
      </c>
      <c r="D214">
        <f t="shared" si="9"/>
        <v>154986.85348326497</v>
      </c>
      <c r="E214">
        <f t="shared" si="10"/>
        <v>24020924752.643044</v>
      </c>
      <c r="F214" s="21"/>
      <c r="G214" s="1"/>
      <c r="I214" s="21">
        <f t="shared" si="11"/>
        <v>154986.85348326497</v>
      </c>
    </row>
    <row r="215" spans="2:9" x14ac:dyDescent="0.3">
      <c r="B215" s="2">
        <v>455700</v>
      </c>
      <c r="C215" s="2">
        <v>381478.36651673511</v>
      </c>
      <c r="D215">
        <f t="shared" si="9"/>
        <v>74221.633483264886</v>
      </c>
      <c r="E215">
        <f t="shared" si="10"/>
        <v>5508850876.9241076</v>
      </c>
      <c r="F215" s="21"/>
      <c r="G215" s="1"/>
      <c r="I215" s="21">
        <f t="shared" si="11"/>
        <v>74221.633483264886</v>
      </c>
    </row>
    <row r="216" spans="2:9" x14ac:dyDescent="0.3">
      <c r="B216" s="2">
        <v>405300</v>
      </c>
      <c r="C216" s="2">
        <v>260551.43651673495</v>
      </c>
      <c r="D216">
        <f t="shared" si="9"/>
        <v>144748.56348326505</v>
      </c>
      <c r="E216">
        <f t="shared" si="10"/>
        <v>20952146630.468815</v>
      </c>
      <c r="F216" s="21"/>
      <c r="G216" s="1"/>
      <c r="I216" s="21">
        <f t="shared" si="11"/>
        <v>144748.56348326505</v>
      </c>
    </row>
    <row r="217" spans="2:9" x14ac:dyDescent="0.3">
      <c r="B217" s="2">
        <v>470400</v>
      </c>
      <c r="C217" s="2">
        <v>381686.68151673506</v>
      </c>
      <c r="D217">
        <f t="shared" si="9"/>
        <v>88713.318483264942</v>
      </c>
      <c r="E217">
        <f t="shared" si="10"/>
        <v>7870052876.3131971</v>
      </c>
      <c r="F217" s="21"/>
      <c r="G217" s="1"/>
      <c r="I217" s="21">
        <f t="shared" si="11"/>
        <v>88713.318483264942</v>
      </c>
    </row>
    <row r="218" spans="2:9" x14ac:dyDescent="0.3">
      <c r="B218" s="2">
        <v>590100</v>
      </c>
      <c r="C218" s="2">
        <v>503001.45151673496</v>
      </c>
      <c r="D218">
        <f t="shared" si="9"/>
        <v>87098.54848326504</v>
      </c>
      <c r="E218">
        <f t="shared" si="10"/>
        <v>7586157147.8916712</v>
      </c>
      <c r="F218" s="21"/>
      <c r="G218" s="1"/>
      <c r="I218" s="21">
        <f t="shared" si="11"/>
        <v>87098.54848326504</v>
      </c>
    </row>
    <row r="219" spans="2:9" x14ac:dyDescent="0.3">
      <c r="B219" s="2">
        <v>497700</v>
      </c>
      <c r="C219" s="2">
        <v>200815.02651673503</v>
      </c>
      <c r="D219">
        <f t="shared" si="9"/>
        <v>296884.97348326497</v>
      </c>
      <c r="E219">
        <f t="shared" si="10"/>
        <v>88140687480.158951</v>
      </c>
      <c r="F219" s="21"/>
      <c r="G219" s="1"/>
      <c r="I219" s="21">
        <f t="shared" si="11"/>
        <v>296884.97348326497</v>
      </c>
    </row>
    <row r="220" spans="2:9" x14ac:dyDescent="0.3">
      <c r="B220" s="2">
        <v>525000</v>
      </c>
      <c r="C220" s="2">
        <v>485317.996516735</v>
      </c>
      <c r="D220">
        <f t="shared" si="9"/>
        <v>39682.003483264998</v>
      </c>
      <c r="E220">
        <f t="shared" si="10"/>
        <v>1574661400.4458554</v>
      </c>
      <c r="F220" s="21"/>
      <c r="G220" s="1"/>
      <c r="I220" s="21">
        <f t="shared" si="11"/>
        <v>39682.003483264998</v>
      </c>
    </row>
    <row r="221" spans="2:9" x14ac:dyDescent="0.3">
      <c r="B221" s="2">
        <v>489300</v>
      </c>
      <c r="C221" s="2">
        <v>458920.32651673496</v>
      </c>
      <c r="D221">
        <f t="shared" si="9"/>
        <v>30379.67348326504</v>
      </c>
      <c r="E221">
        <f t="shared" si="10"/>
        <v>922924560.94979703</v>
      </c>
      <c r="F221" s="21"/>
      <c r="G221" s="1"/>
      <c r="I221" s="21">
        <f t="shared" si="11"/>
        <v>30379.67348326504</v>
      </c>
    </row>
    <row r="222" spans="2:9" x14ac:dyDescent="0.3">
      <c r="B222" s="2">
        <v>602700</v>
      </c>
      <c r="C222" s="2">
        <v>565633.51651673485</v>
      </c>
      <c r="D222">
        <f t="shared" si="9"/>
        <v>37066.483483265154</v>
      </c>
      <c r="E222">
        <f t="shared" si="10"/>
        <v>1373924197.8151684</v>
      </c>
      <c r="F222" s="21"/>
      <c r="G222" s="1"/>
      <c r="I222" s="21">
        <f t="shared" si="11"/>
        <v>37066.483483265154</v>
      </c>
    </row>
    <row r="223" spans="2:9" x14ac:dyDescent="0.3">
      <c r="B223" s="2">
        <v>451500</v>
      </c>
      <c r="C223" s="2">
        <v>416529.83151673485</v>
      </c>
      <c r="D223">
        <f t="shared" si="9"/>
        <v>34970.168483265152</v>
      </c>
      <c r="E223">
        <f t="shared" si="10"/>
        <v>1222912683.7479513</v>
      </c>
      <c r="F223" s="21"/>
      <c r="G223" s="1"/>
      <c r="I223" s="21">
        <f t="shared" si="11"/>
        <v>34970.168483265152</v>
      </c>
    </row>
    <row r="224" spans="2:9" x14ac:dyDescent="0.3">
      <c r="B224" s="2">
        <v>483000</v>
      </c>
      <c r="C224" s="2">
        <v>533559.84151673503</v>
      </c>
      <c r="D224">
        <f t="shared" si="9"/>
        <v>-50559.841516735032</v>
      </c>
      <c r="E224">
        <f t="shared" si="10"/>
        <v>2556297574.1973634</v>
      </c>
      <c r="F224" s="21"/>
      <c r="G224" s="1"/>
      <c r="I224" s="21">
        <f t="shared" si="11"/>
        <v>50559.841516735032</v>
      </c>
    </row>
    <row r="225" spans="2:9" x14ac:dyDescent="0.3">
      <c r="B225" s="2">
        <v>560700</v>
      </c>
      <c r="C225" s="2">
        <v>572673.12151673483</v>
      </c>
      <c r="D225">
        <f t="shared" si="9"/>
        <v>-11973.121516734827</v>
      </c>
      <c r="E225">
        <f t="shared" si="10"/>
        <v>143355638.85449851</v>
      </c>
      <c r="F225" s="21"/>
      <c r="G225" s="1"/>
      <c r="I225" s="21">
        <f t="shared" si="11"/>
        <v>11973.121516734827</v>
      </c>
    </row>
    <row r="226" spans="2:9" x14ac:dyDescent="0.3">
      <c r="B226" s="2">
        <v>455700</v>
      </c>
      <c r="C226" s="2">
        <v>377070.71651673486</v>
      </c>
      <c r="D226">
        <f t="shared" si="9"/>
        <v>78629.283483265142</v>
      </c>
      <c r="E226">
        <f t="shared" si="10"/>
        <v>6182564221.0916729</v>
      </c>
      <c r="F226" s="21"/>
      <c r="G226" s="1"/>
      <c r="I226" s="21">
        <f t="shared" si="11"/>
        <v>78629.283483265142</v>
      </c>
    </row>
    <row r="227" spans="2:9" x14ac:dyDescent="0.3">
      <c r="B227" s="2">
        <v>577500</v>
      </c>
      <c r="C227" s="2">
        <v>564053.6615167351</v>
      </c>
      <c r="D227">
        <f t="shared" si="9"/>
        <v>13446.338483264903</v>
      </c>
      <c r="E227">
        <f t="shared" si="10"/>
        <v>180804018.6065307</v>
      </c>
      <c r="F227" s="21"/>
      <c r="G227" s="1"/>
      <c r="I227" s="21">
        <f t="shared" si="11"/>
        <v>13446.338483264903</v>
      </c>
    </row>
    <row r="228" spans="2:9" x14ac:dyDescent="0.3">
      <c r="B228" s="2">
        <v>632100</v>
      </c>
      <c r="C228" s="2">
        <v>566738.36651673517</v>
      </c>
      <c r="D228">
        <f t="shared" si="9"/>
        <v>65361.633483264828</v>
      </c>
      <c r="E228">
        <f t="shared" si="10"/>
        <v>4272143131.600646</v>
      </c>
      <c r="F228" s="21"/>
      <c r="G228" s="1"/>
      <c r="I228" s="21">
        <f t="shared" si="11"/>
        <v>65361.633483264828</v>
      </c>
    </row>
    <row r="229" spans="2:9" x14ac:dyDescent="0.3">
      <c r="B229" s="2">
        <v>940800</v>
      </c>
      <c r="C229" s="2">
        <v>746935.02651673486</v>
      </c>
      <c r="D229">
        <f t="shared" si="9"/>
        <v>193864.97348326514</v>
      </c>
      <c r="E229">
        <f t="shared" si="10"/>
        <v>37583627943.667099</v>
      </c>
      <c r="F229" s="21"/>
      <c r="G229" s="1"/>
      <c r="I229" s="21">
        <f t="shared" si="11"/>
        <v>193864.97348326514</v>
      </c>
    </row>
    <row r="230" spans="2:9" x14ac:dyDescent="0.3">
      <c r="B230" s="2">
        <v>789600</v>
      </c>
      <c r="C230" s="2">
        <v>738328.82651673513</v>
      </c>
      <c r="D230">
        <f t="shared" si="9"/>
        <v>51271.173483264865</v>
      </c>
      <c r="E230">
        <f t="shared" si="10"/>
        <v>2628733230.3510423</v>
      </c>
      <c r="F230" s="21"/>
      <c r="G230" s="1"/>
      <c r="I230" s="21">
        <f t="shared" si="11"/>
        <v>51271.173483264865</v>
      </c>
    </row>
    <row r="231" spans="2:9" x14ac:dyDescent="0.3">
      <c r="B231" s="2">
        <v>663600</v>
      </c>
      <c r="C231" s="2">
        <v>627369.05151673499</v>
      </c>
      <c r="D231">
        <f t="shared" si="9"/>
        <v>36230.948483265005</v>
      </c>
      <c r="E231">
        <f t="shared" si="10"/>
        <v>1312681627.9970028</v>
      </c>
      <c r="F231" s="21"/>
      <c r="G231" s="1"/>
      <c r="I231" s="21">
        <f t="shared" si="11"/>
        <v>36230.948483265005</v>
      </c>
    </row>
    <row r="232" spans="2:9" x14ac:dyDescent="0.3">
      <c r="B232" s="2">
        <v>980700</v>
      </c>
      <c r="C232" s="2">
        <v>699114.10651673516</v>
      </c>
      <c r="D232">
        <f t="shared" si="9"/>
        <v>281585.89348326484</v>
      </c>
      <c r="E232">
        <f t="shared" si="10"/>
        <v>79290615408.76857</v>
      </c>
      <c r="F232" s="21"/>
      <c r="G232" s="1"/>
      <c r="I232" s="21">
        <f t="shared" si="11"/>
        <v>281585.89348326484</v>
      </c>
    </row>
    <row r="233" spans="2:9" x14ac:dyDescent="0.3">
      <c r="B233" s="2">
        <v>661500</v>
      </c>
      <c r="C233" s="2">
        <v>602685.23651673505</v>
      </c>
      <c r="D233">
        <f t="shared" si="9"/>
        <v>58814.763483264949</v>
      </c>
      <c r="E233">
        <f t="shared" si="10"/>
        <v>3459176403.5923963</v>
      </c>
      <c r="F233" s="21"/>
      <c r="G233" s="1"/>
      <c r="I233" s="21">
        <f t="shared" si="11"/>
        <v>58814.763483264949</v>
      </c>
    </row>
    <row r="234" spans="2:9" x14ac:dyDescent="0.3">
      <c r="B234" s="2">
        <v>510300</v>
      </c>
      <c r="C234" s="2">
        <v>467658.01151673513</v>
      </c>
      <c r="D234">
        <f t="shared" si="9"/>
        <v>42641.988483264868</v>
      </c>
      <c r="E234">
        <f t="shared" si="10"/>
        <v>1818339181.8068936</v>
      </c>
      <c r="F234" s="21"/>
      <c r="G234" s="1"/>
      <c r="I234" s="21">
        <f t="shared" si="11"/>
        <v>42641.988483264868</v>
      </c>
    </row>
    <row r="235" spans="2:9" x14ac:dyDescent="0.3">
      <c r="B235" s="2">
        <v>665700</v>
      </c>
      <c r="C235" s="2">
        <v>660966.12651673495</v>
      </c>
      <c r="D235">
        <f t="shared" si="9"/>
        <v>4733.8734832650516</v>
      </c>
      <c r="E235">
        <f t="shared" si="10"/>
        <v>22409558.155559994</v>
      </c>
      <c r="F235" s="21"/>
      <c r="G235" s="1"/>
      <c r="I235" s="21">
        <f t="shared" si="11"/>
        <v>4733.8734832650516</v>
      </c>
    </row>
    <row r="236" spans="2:9" x14ac:dyDescent="0.3">
      <c r="B236" s="2">
        <v>875700</v>
      </c>
      <c r="C236" s="2">
        <v>771198.97151673492</v>
      </c>
      <c r="D236">
        <f t="shared" si="9"/>
        <v>104501.02848326508</v>
      </c>
      <c r="E236">
        <f t="shared" si="10"/>
        <v>10920464954.060179</v>
      </c>
      <c r="F236" s="21"/>
      <c r="G236" s="1"/>
      <c r="I236" s="21">
        <f t="shared" si="11"/>
        <v>104501.02848326508</v>
      </c>
    </row>
    <row r="237" spans="2:9" x14ac:dyDescent="0.3">
      <c r="B237" s="2">
        <v>1014300</v>
      </c>
      <c r="C237" s="2">
        <v>747351.60151673481</v>
      </c>
      <c r="D237">
        <f t="shared" si="9"/>
        <v>266948.39848326519</v>
      </c>
      <c r="E237">
        <f t="shared" si="10"/>
        <v>71261447452.780136</v>
      </c>
      <c r="F237" s="21"/>
      <c r="G237" s="1"/>
      <c r="I237" s="21">
        <f t="shared" si="11"/>
        <v>266948.39848326519</v>
      </c>
    </row>
    <row r="238" spans="2:9" x14ac:dyDescent="0.3">
      <c r="B238" s="2">
        <v>609000</v>
      </c>
      <c r="C238" s="2">
        <v>571205.33651673491</v>
      </c>
      <c r="D238">
        <f t="shared" si="9"/>
        <v>37794.663483265089</v>
      </c>
      <c r="E238">
        <f t="shared" si="10"/>
        <v>1428436587.8132515</v>
      </c>
      <c r="F238" s="21"/>
      <c r="G238" s="1"/>
      <c r="I238" s="21">
        <f t="shared" si="11"/>
        <v>37794.663483265089</v>
      </c>
    </row>
    <row r="239" spans="2:9" x14ac:dyDescent="0.3">
      <c r="B239" s="2">
        <v>504000</v>
      </c>
      <c r="C239" s="2">
        <v>485101.06651673507</v>
      </c>
      <c r="D239">
        <f t="shared" si="9"/>
        <v>18898.933483264933</v>
      </c>
      <c r="E239">
        <f t="shared" si="10"/>
        <v>357169686.80487239</v>
      </c>
      <c r="F239" s="21"/>
      <c r="G239" s="1"/>
      <c r="I239" s="21">
        <f t="shared" si="11"/>
        <v>18898.933483264933</v>
      </c>
    </row>
    <row r="240" spans="2:9" x14ac:dyDescent="0.3">
      <c r="B240" s="2">
        <v>527100</v>
      </c>
      <c r="C240" s="2">
        <v>546816.65151673509</v>
      </c>
      <c r="D240">
        <f t="shared" si="9"/>
        <v>-19716.651516735088</v>
      </c>
      <c r="E240">
        <f t="shared" si="10"/>
        <v>388746347.03237206</v>
      </c>
      <c r="F240" s="21"/>
      <c r="G240" s="1"/>
      <c r="I240" s="21">
        <f t="shared" si="11"/>
        <v>19716.651516735088</v>
      </c>
    </row>
    <row r="241" spans="2:9" x14ac:dyDescent="0.3">
      <c r="B241" s="2">
        <v>661500</v>
      </c>
      <c r="C241" s="2">
        <v>661933.09651673492</v>
      </c>
      <c r="D241">
        <f t="shared" si="9"/>
        <v>-433.09651673492044</v>
      </c>
      <c r="E241">
        <f t="shared" si="10"/>
        <v>187572.59280792123</v>
      </c>
      <c r="F241" s="21"/>
      <c r="G241" s="1"/>
      <c r="I241" s="21">
        <f t="shared" si="11"/>
        <v>433.09651673492044</v>
      </c>
    </row>
    <row r="242" spans="2:9" x14ac:dyDescent="0.3">
      <c r="B242" s="2">
        <v>497700</v>
      </c>
      <c r="C242" s="2">
        <v>583925.32151673501</v>
      </c>
      <c r="D242">
        <f t="shared" si="9"/>
        <v>-86225.321516735014</v>
      </c>
      <c r="E242">
        <f t="shared" si="10"/>
        <v>7434806070.6643257</v>
      </c>
      <c r="F242" s="21"/>
      <c r="G242" s="1"/>
      <c r="I242" s="21">
        <f t="shared" si="11"/>
        <v>86225.321516735014</v>
      </c>
    </row>
    <row r="243" spans="2:9" x14ac:dyDescent="0.3">
      <c r="B243" s="2">
        <v>489300</v>
      </c>
      <c r="C243" s="2">
        <v>583788.45651673502</v>
      </c>
      <c r="D243">
        <f t="shared" si="9"/>
        <v>-94488.456516735023</v>
      </c>
      <c r="E243">
        <f t="shared" si="10"/>
        <v>8928068414.9149246</v>
      </c>
      <c r="F243" s="21"/>
      <c r="G243" s="1"/>
      <c r="I243" s="21">
        <f t="shared" si="11"/>
        <v>94488.456516735023</v>
      </c>
    </row>
    <row r="244" spans="2:9" x14ac:dyDescent="0.3">
      <c r="B244" s="2">
        <v>462000</v>
      </c>
      <c r="C244" s="2">
        <v>565474.38151673507</v>
      </c>
      <c r="D244">
        <f t="shared" si="9"/>
        <v>-103474.38151673507</v>
      </c>
      <c r="E244">
        <f t="shared" si="10"/>
        <v>10706947630.270844</v>
      </c>
      <c r="F244" s="21"/>
      <c r="G244" s="1"/>
      <c r="I244" s="21">
        <f t="shared" si="11"/>
        <v>103474.38151673507</v>
      </c>
    </row>
    <row r="245" spans="2:9" x14ac:dyDescent="0.3">
      <c r="B245" s="2">
        <v>422100</v>
      </c>
      <c r="C245" s="2">
        <v>484983.27151673503</v>
      </c>
      <c r="D245">
        <f t="shared" si="9"/>
        <v>-62883.271516735025</v>
      </c>
      <c r="E245">
        <f t="shared" si="10"/>
        <v>3954305836.6474185</v>
      </c>
      <c r="F245" s="21"/>
      <c r="G245" s="1"/>
      <c r="I245" s="21">
        <f t="shared" si="11"/>
        <v>62883.271516735025</v>
      </c>
    </row>
    <row r="246" spans="2:9" x14ac:dyDescent="0.3">
      <c r="B246" s="2">
        <v>466200</v>
      </c>
      <c r="C246" s="2">
        <v>520551.68651673495</v>
      </c>
      <c r="D246">
        <f t="shared" si="9"/>
        <v>-54351.686516734946</v>
      </c>
      <c r="E246">
        <f t="shared" si="10"/>
        <v>2954105827.2134275</v>
      </c>
      <c r="F246" s="21"/>
      <c r="G246" s="1"/>
      <c r="I246" s="21">
        <f t="shared" si="11"/>
        <v>54351.686516734946</v>
      </c>
    </row>
    <row r="247" spans="2:9" x14ac:dyDescent="0.3">
      <c r="B247" s="2">
        <v>497700</v>
      </c>
      <c r="C247" s="2">
        <v>589000.93151673488</v>
      </c>
      <c r="D247">
        <f t="shared" si="9"/>
        <v>-91300.931516734883</v>
      </c>
      <c r="E247">
        <f t="shared" si="10"/>
        <v>8335860095.823513</v>
      </c>
      <c r="F247" s="21"/>
      <c r="G247" s="1"/>
      <c r="I247" s="21">
        <f t="shared" si="11"/>
        <v>91300.931516734883</v>
      </c>
    </row>
    <row r="248" spans="2:9" x14ac:dyDescent="0.3">
      <c r="B248" s="2">
        <v>369600</v>
      </c>
      <c r="C248" s="2">
        <v>391712.741516735</v>
      </c>
      <c r="D248">
        <f t="shared" si="9"/>
        <v>-22112.741516734997</v>
      </c>
      <c r="E248">
        <f t="shared" si="10"/>
        <v>488973337.3859356</v>
      </c>
      <c r="F248" s="21"/>
      <c r="G248" s="1"/>
      <c r="I248" s="21">
        <f t="shared" si="11"/>
        <v>22112.741516734997</v>
      </c>
    </row>
    <row r="249" spans="2:9" x14ac:dyDescent="0.3">
      <c r="B249" s="2">
        <v>388500</v>
      </c>
      <c r="C249" s="2">
        <v>328091.48151673499</v>
      </c>
      <c r="D249">
        <f t="shared" si="9"/>
        <v>60408.518483265012</v>
      </c>
      <c r="E249">
        <f t="shared" si="10"/>
        <v>3649189105.3429704</v>
      </c>
      <c r="F249" s="21"/>
      <c r="G249" s="1"/>
      <c r="I249" s="21">
        <f t="shared" si="11"/>
        <v>60408.518483265012</v>
      </c>
    </row>
    <row r="250" spans="2:9" x14ac:dyDescent="0.3">
      <c r="B250" s="2">
        <v>510300</v>
      </c>
      <c r="C250" s="2">
        <v>472529.37651673501</v>
      </c>
      <c r="D250">
        <f t="shared" si="9"/>
        <v>37770.623483264993</v>
      </c>
      <c r="E250">
        <f t="shared" si="10"/>
        <v>1426619998.314569</v>
      </c>
      <c r="F250" s="21"/>
      <c r="G250" s="1"/>
      <c r="I250" s="21">
        <f t="shared" si="11"/>
        <v>37770.623483264993</v>
      </c>
    </row>
    <row r="251" spans="2:9" x14ac:dyDescent="0.3">
      <c r="B251" s="2">
        <v>430500</v>
      </c>
      <c r="C251" s="2">
        <v>472003.53651673492</v>
      </c>
      <c r="D251">
        <f t="shared" si="9"/>
        <v>-41503.536516734923</v>
      </c>
      <c r="E251">
        <f t="shared" si="10"/>
        <v>1722543543.3959491</v>
      </c>
      <c r="F251" s="21"/>
      <c r="G251" s="1"/>
      <c r="I251" s="21">
        <f t="shared" si="11"/>
        <v>41503.536516734923</v>
      </c>
    </row>
    <row r="252" spans="2:9" x14ac:dyDescent="0.3">
      <c r="B252" s="2">
        <v>514500</v>
      </c>
      <c r="C252" s="2">
        <v>496757.36151673499</v>
      </c>
      <c r="D252">
        <f t="shared" si="9"/>
        <v>17742.638483265007</v>
      </c>
      <c r="E252">
        <f t="shared" si="10"/>
        <v>314801220.34783638</v>
      </c>
      <c r="F252" s="21"/>
      <c r="G252" s="1"/>
      <c r="I252" s="21">
        <f t="shared" si="11"/>
        <v>17742.638483265007</v>
      </c>
    </row>
    <row r="253" spans="2:9" x14ac:dyDescent="0.3">
      <c r="B253" s="2">
        <v>550200</v>
      </c>
      <c r="C253" s="2">
        <v>553541.42651673523</v>
      </c>
      <c r="D253">
        <f t="shared" si="9"/>
        <v>-3341.4265167352278</v>
      </c>
      <c r="E253">
        <f t="shared" si="10"/>
        <v>11165131.166741317</v>
      </c>
      <c r="F253" s="21"/>
      <c r="G253" s="1"/>
      <c r="I253" s="21">
        <f t="shared" si="11"/>
        <v>3341.4265167352278</v>
      </c>
    </row>
    <row r="254" spans="2:9" x14ac:dyDescent="0.3">
      <c r="B254" s="2">
        <v>512400</v>
      </c>
      <c r="C254" s="2">
        <v>540705.25151673495</v>
      </c>
      <c r="D254">
        <f t="shared" si="9"/>
        <v>-28305.251516734948</v>
      </c>
      <c r="E254">
        <f t="shared" si="10"/>
        <v>801187263.42562604</v>
      </c>
      <c r="F254" s="21"/>
      <c r="G254" s="1"/>
      <c r="I254" s="21">
        <f t="shared" si="11"/>
        <v>28305.251516734948</v>
      </c>
    </row>
    <row r="255" spans="2:9" x14ac:dyDescent="0.3">
      <c r="B255" s="2">
        <v>520800</v>
      </c>
      <c r="C255" s="2">
        <v>561524.75651673484</v>
      </c>
      <c r="D255">
        <f t="shared" si="9"/>
        <v>-40724.756516734837</v>
      </c>
      <c r="E255">
        <f t="shared" si="10"/>
        <v>1658505793.3473365</v>
      </c>
      <c r="F255" s="21"/>
      <c r="G255" s="1"/>
      <c r="I255" s="21">
        <f t="shared" si="11"/>
        <v>40724.756516734837</v>
      </c>
    </row>
    <row r="256" spans="2:9" x14ac:dyDescent="0.3">
      <c r="B256" s="2">
        <v>621600</v>
      </c>
      <c r="C256" s="2">
        <v>607102.93151673512</v>
      </c>
      <c r="D256">
        <f t="shared" si="9"/>
        <v>14497.068483264884</v>
      </c>
      <c r="E256">
        <f t="shared" si="10"/>
        <v>210164994.60847199</v>
      </c>
      <c r="F256" s="21"/>
      <c r="G256" s="1"/>
      <c r="I256" s="21">
        <f t="shared" si="11"/>
        <v>14497.068483264884</v>
      </c>
    </row>
    <row r="257" spans="2:9" x14ac:dyDescent="0.3">
      <c r="B257" s="2">
        <v>898800</v>
      </c>
      <c r="C257" s="2">
        <v>719702.07151673525</v>
      </c>
      <c r="D257">
        <f t="shared" si="9"/>
        <v>179097.92848326475</v>
      </c>
      <c r="E257">
        <f t="shared" si="10"/>
        <v>32076067986.996616</v>
      </c>
      <c r="F257" s="21"/>
      <c r="G257" s="1"/>
      <c r="I257" s="21">
        <f t="shared" si="11"/>
        <v>179097.92848326475</v>
      </c>
    </row>
    <row r="258" spans="2:9" x14ac:dyDescent="0.3">
      <c r="B258" s="2">
        <v>459900</v>
      </c>
      <c r="C258" s="2">
        <v>553256.686516735</v>
      </c>
      <c r="D258">
        <f t="shared" si="9"/>
        <v>-93356.686516735004</v>
      </c>
      <c r="E258">
        <f t="shared" si="10"/>
        <v>8715470917.3839321</v>
      </c>
      <c r="F258" s="21"/>
      <c r="G258" s="1"/>
      <c r="I258" s="21">
        <f t="shared" si="11"/>
        <v>93356.686516735004</v>
      </c>
    </row>
    <row r="259" spans="2:9" x14ac:dyDescent="0.3">
      <c r="B259" s="2">
        <v>438900</v>
      </c>
      <c r="C259" s="2">
        <v>504098.28651673504</v>
      </c>
      <c r="D259">
        <f t="shared" si="9"/>
        <v>-65198.286516735039</v>
      </c>
      <c r="E259">
        <f t="shared" si="10"/>
        <v>4250816564.7182741</v>
      </c>
      <c r="F259" s="21"/>
      <c r="G259" s="1"/>
      <c r="I259" s="21">
        <f t="shared" si="11"/>
        <v>65198.286516735039</v>
      </c>
    </row>
    <row r="260" spans="2:9" x14ac:dyDescent="0.3">
      <c r="B260" s="2">
        <v>924000</v>
      </c>
      <c r="C260" s="2">
        <v>717056.71651673503</v>
      </c>
      <c r="D260">
        <f t="shared" si="9"/>
        <v>206943.28348326497</v>
      </c>
      <c r="E260">
        <f t="shared" si="10"/>
        <v>42825522578.834969</v>
      </c>
      <c r="F260" s="21"/>
      <c r="G260" s="1"/>
      <c r="I260" s="21">
        <f t="shared" si="11"/>
        <v>206943.28348326497</v>
      </c>
    </row>
    <row r="261" spans="2:9" x14ac:dyDescent="0.3">
      <c r="B261" s="2">
        <v>756000</v>
      </c>
      <c r="C261" s="2">
        <v>712335.83151673502</v>
      </c>
      <c r="D261">
        <f t="shared" si="9"/>
        <v>43664.168483264977</v>
      </c>
      <c r="E261">
        <f t="shared" si="10"/>
        <v>1906559609.3349504</v>
      </c>
      <c r="F261" s="21"/>
      <c r="G261" s="1"/>
      <c r="I261" s="21">
        <f t="shared" si="11"/>
        <v>43664.168483264977</v>
      </c>
    </row>
    <row r="262" spans="2:9" x14ac:dyDescent="0.3">
      <c r="B262" s="2">
        <v>632100</v>
      </c>
      <c r="C262" s="2">
        <v>679488.02651673497</v>
      </c>
      <c r="D262">
        <f t="shared" si="9"/>
        <v>-47388.026516734972</v>
      </c>
      <c r="E262">
        <f t="shared" si="10"/>
        <v>2245625057.1507769</v>
      </c>
      <c r="F262" s="21"/>
      <c r="G262" s="1"/>
      <c r="I262" s="21">
        <f t="shared" si="11"/>
        <v>47388.026516734972</v>
      </c>
    </row>
    <row r="263" spans="2:9" x14ac:dyDescent="0.3">
      <c r="B263" s="2">
        <v>709800</v>
      </c>
      <c r="C263" s="2">
        <v>681554.181516735</v>
      </c>
      <c r="D263">
        <f t="shared" si="9"/>
        <v>28245.818483265</v>
      </c>
      <c r="E263">
        <f t="shared" si="10"/>
        <v>797826261.78955472</v>
      </c>
      <c r="F263" s="21"/>
      <c r="G263" s="1"/>
      <c r="I263" s="21">
        <f t="shared" si="11"/>
        <v>28245.818483265</v>
      </c>
    </row>
    <row r="264" spans="2:9" x14ac:dyDescent="0.3">
      <c r="B264" s="2">
        <v>905100</v>
      </c>
      <c r="C264" s="2">
        <v>734273.45651673502</v>
      </c>
      <c r="D264">
        <f t="shared" si="9"/>
        <v>170826.54348326498</v>
      </c>
      <c r="E264">
        <f t="shared" si="10"/>
        <v>29181707958.439819</v>
      </c>
      <c r="F264" s="21"/>
      <c r="G264" s="1"/>
      <c r="I264" s="21">
        <f t="shared" si="11"/>
        <v>170826.54348326498</v>
      </c>
    </row>
    <row r="265" spans="2:9" x14ac:dyDescent="0.3">
      <c r="B265" s="2">
        <v>1024800</v>
      </c>
      <c r="C265" s="2">
        <v>824923.67651673499</v>
      </c>
      <c r="D265">
        <f t="shared" si="9"/>
        <v>199876.32348326501</v>
      </c>
      <c r="E265">
        <f t="shared" si="10"/>
        <v>39950544689.18679</v>
      </c>
      <c r="F265" s="21"/>
      <c r="G265" s="1"/>
      <c r="I265" s="21">
        <f t="shared" si="11"/>
        <v>199876.32348326501</v>
      </c>
    </row>
    <row r="266" spans="2:9" x14ac:dyDescent="0.3">
      <c r="B266" s="2">
        <v>651000</v>
      </c>
      <c r="C266" s="2">
        <v>674278.90151673509</v>
      </c>
      <c r="D266">
        <f t="shared" si="9"/>
        <v>-23278.901516735088</v>
      </c>
      <c r="E266">
        <f t="shared" si="10"/>
        <v>541907255.8258512</v>
      </c>
      <c r="F266" s="21"/>
      <c r="G266" s="1"/>
      <c r="I266" s="21">
        <f t="shared" si="11"/>
        <v>23278.901516735088</v>
      </c>
    </row>
    <row r="267" spans="2:9" x14ac:dyDescent="0.3">
      <c r="B267" s="2">
        <v>766500</v>
      </c>
      <c r="C267" s="2">
        <v>697978.88651673507</v>
      </c>
      <c r="D267">
        <f t="shared" si="9"/>
        <v>68521.113483264926</v>
      </c>
      <c r="E267">
        <f t="shared" si="10"/>
        <v>4695142992.9864702</v>
      </c>
      <c r="F267" s="21"/>
      <c r="G267" s="1"/>
      <c r="I267" s="21">
        <f t="shared" si="11"/>
        <v>68521.113483264926</v>
      </c>
    </row>
    <row r="268" spans="2:9" x14ac:dyDescent="0.3">
      <c r="B268" s="2">
        <v>478800</v>
      </c>
      <c r="C268" s="2">
        <v>529997.74651673506</v>
      </c>
      <c r="D268">
        <f t="shared" si="9"/>
        <v>-51197.74651673506</v>
      </c>
      <c r="E268">
        <f t="shared" si="10"/>
        <v>2621209248.3918571</v>
      </c>
      <c r="F268" s="21"/>
      <c r="G268" s="1"/>
      <c r="I268" s="21">
        <f t="shared" si="11"/>
        <v>51197.74651673506</v>
      </c>
    </row>
    <row r="269" spans="2:9" x14ac:dyDescent="0.3">
      <c r="B269" s="2">
        <v>644700</v>
      </c>
      <c r="C269" s="2">
        <v>608778.59651673515</v>
      </c>
      <c r="D269">
        <f t="shared" ref="D269:D332" si="12">B269-C269</f>
        <v>35921.403483264847</v>
      </c>
      <c r="E269">
        <f t="shared" ref="E269:E332" si="13">(D269)^2</f>
        <v>1290347228.2075119</v>
      </c>
      <c r="F269" s="21"/>
      <c r="G269" s="1"/>
      <c r="I269" s="21">
        <f t="shared" ref="I269:I332" si="14">ABS(D269)</f>
        <v>35921.403483264847</v>
      </c>
    </row>
    <row r="270" spans="2:9" x14ac:dyDescent="0.3">
      <c r="B270" s="2">
        <v>913500</v>
      </c>
      <c r="C270" s="2">
        <v>774426.10651673505</v>
      </c>
      <c r="D270">
        <f t="shared" si="12"/>
        <v>139073.89348326495</v>
      </c>
      <c r="E270">
        <f t="shared" si="13"/>
        <v>19341547848.594524</v>
      </c>
      <c r="F270" s="21"/>
      <c r="G270" s="1"/>
      <c r="I270" s="21">
        <f t="shared" si="14"/>
        <v>139073.89348326495</v>
      </c>
    </row>
    <row r="271" spans="2:9" x14ac:dyDescent="0.3">
      <c r="B271" s="2">
        <v>434700</v>
      </c>
      <c r="C271" s="2">
        <v>417289.14651673503</v>
      </c>
      <c r="D271">
        <f t="shared" si="12"/>
        <v>17410.853483264975</v>
      </c>
      <c r="E271">
        <f t="shared" si="13"/>
        <v>303137819.01572013</v>
      </c>
      <c r="F271" s="21"/>
      <c r="G271" s="1"/>
      <c r="I271" s="21">
        <f t="shared" si="14"/>
        <v>17410.853483264975</v>
      </c>
    </row>
    <row r="272" spans="2:9" x14ac:dyDescent="0.3">
      <c r="B272" s="2">
        <v>443100</v>
      </c>
      <c r="C272" s="2">
        <v>418800.83651673509</v>
      </c>
      <c r="D272">
        <f t="shared" si="12"/>
        <v>24299.163483264914</v>
      </c>
      <c r="E272">
        <f t="shared" si="13"/>
        <v>590449345.98643506</v>
      </c>
      <c r="F272" s="21"/>
      <c r="G272" s="1"/>
      <c r="I272" s="21">
        <f t="shared" si="14"/>
        <v>24299.163483264914</v>
      </c>
    </row>
    <row r="273" spans="2:9" x14ac:dyDescent="0.3">
      <c r="B273" s="2">
        <v>529200</v>
      </c>
      <c r="C273" s="2">
        <v>521583.88651673502</v>
      </c>
      <c r="D273">
        <f t="shared" si="12"/>
        <v>7616.1134832649841</v>
      </c>
      <c r="E273">
        <f t="shared" si="13"/>
        <v>58005184.589970686</v>
      </c>
      <c r="F273" s="21"/>
      <c r="G273" s="1"/>
      <c r="I273" s="21">
        <f t="shared" si="14"/>
        <v>7616.1134832649841</v>
      </c>
    </row>
    <row r="274" spans="2:9" x14ac:dyDescent="0.3">
      <c r="B274" s="2">
        <v>512400</v>
      </c>
      <c r="C274" s="2">
        <v>535012.39651673497</v>
      </c>
      <c r="D274">
        <f t="shared" si="12"/>
        <v>-22612.396516734967</v>
      </c>
      <c r="E274">
        <f t="shared" si="13"/>
        <v>511320476.23004764</v>
      </c>
      <c r="F274" s="21"/>
      <c r="G274" s="1"/>
      <c r="I274" s="21">
        <f t="shared" si="14"/>
        <v>22612.396516734967</v>
      </c>
    </row>
    <row r="275" spans="2:9" x14ac:dyDescent="0.3">
      <c r="B275" s="2">
        <v>739200</v>
      </c>
      <c r="C275" s="2">
        <v>647298.19151673489</v>
      </c>
      <c r="D275">
        <f t="shared" si="12"/>
        <v>91901.808483265107</v>
      </c>
      <c r="E275">
        <f t="shared" si="13"/>
        <v>8445942402.4947386</v>
      </c>
      <c r="F275" s="21"/>
      <c r="G275" s="1"/>
      <c r="I275" s="21">
        <f t="shared" si="14"/>
        <v>91901.808483265107</v>
      </c>
    </row>
    <row r="276" spans="2:9" x14ac:dyDescent="0.3">
      <c r="B276" s="2">
        <v>680400</v>
      </c>
      <c r="C276" s="2">
        <v>619114.49651673506</v>
      </c>
      <c r="D276">
        <f t="shared" si="12"/>
        <v>61285.50348326494</v>
      </c>
      <c r="E276">
        <f t="shared" si="13"/>
        <v>3755912937.197279</v>
      </c>
      <c r="F276" s="21"/>
      <c r="G276" s="1"/>
      <c r="I276" s="21">
        <f t="shared" si="14"/>
        <v>61285.50348326494</v>
      </c>
    </row>
    <row r="277" spans="2:9" x14ac:dyDescent="0.3">
      <c r="B277" s="2">
        <v>672000</v>
      </c>
      <c r="C277" s="2">
        <v>633391.686516735</v>
      </c>
      <c r="D277">
        <f t="shared" si="12"/>
        <v>38608.313483264996</v>
      </c>
      <c r="E277">
        <f t="shared" si="13"/>
        <v>1490601870.0220616</v>
      </c>
      <c r="F277" s="21"/>
      <c r="G277" s="1"/>
      <c r="I277" s="21">
        <f t="shared" si="14"/>
        <v>38608.313483264996</v>
      </c>
    </row>
    <row r="278" spans="2:9" x14ac:dyDescent="0.3">
      <c r="B278" s="2">
        <v>697200</v>
      </c>
      <c r="C278" s="2">
        <v>635836.60151673504</v>
      </c>
      <c r="D278">
        <f t="shared" si="12"/>
        <v>61363.398483264958</v>
      </c>
      <c r="E278">
        <f t="shared" si="13"/>
        <v>3765466673.4159641</v>
      </c>
      <c r="F278" s="21"/>
      <c r="G278" s="1"/>
      <c r="I278" s="21">
        <f t="shared" si="14"/>
        <v>61363.398483264958</v>
      </c>
    </row>
    <row r="279" spans="2:9" x14ac:dyDescent="0.3">
      <c r="B279" s="2">
        <v>695100</v>
      </c>
      <c r="C279" s="2">
        <v>618166.04651673487</v>
      </c>
      <c r="D279">
        <f t="shared" si="12"/>
        <v>76933.953483265126</v>
      </c>
      <c r="E279">
        <f t="shared" si="13"/>
        <v>5918833198.5652018</v>
      </c>
      <c r="F279" s="21"/>
      <c r="G279" s="1"/>
      <c r="I279" s="21">
        <f t="shared" si="14"/>
        <v>76933.953483265126</v>
      </c>
    </row>
    <row r="280" spans="2:9" x14ac:dyDescent="0.3">
      <c r="B280" s="2">
        <v>611100</v>
      </c>
      <c r="C280" s="2">
        <v>555515.21651673503</v>
      </c>
      <c r="D280">
        <f t="shared" si="12"/>
        <v>55584.783483264968</v>
      </c>
      <c r="E280">
        <f t="shared" si="13"/>
        <v>3089668154.8814459</v>
      </c>
      <c r="F280" s="21"/>
      <c r="G280" s="1"/>
      <c r="I280" s="21">
        <f t="shared" si="14"/>
        <v>55584.783483264968</v>
      </c>
    </row>
    <row r="281" spans="2:9" x14ac:dyDescent="0.3">
      <c r="B281" s="2">
        <v>737100</v>
      </c>
      <c r="C281" s="2">
        <v>662096.72651673504</v>
      </c>
      <c r="D281">
        <f t="shared" si="12"/>
        <v>75003.273483264958</v>
      </c>
      <c r="E281">
        <f t="shared" si="13"/>
        <v>5625491033.2054367</v>
      </c>
      <c r="F281" s="21"/>
      <c r="G281" s="1"/>
      <c r="I281" s="21">
        <f t="shared" si="14"/>
        <v>75003.273483264958</v>
      </c>
    </row>
    <row r="282" spans="2:9" x14ac:dyDescent="0.3">
      <c r="B282" s="2">
        <v>953400</v>
      </c>
      <c r="C282" s="2">
        <v>761179.65651673498</v>
      </c>
      <c r="D282">
        <f t="shared" si="12"/>
        <v>192220.34348326502</v>
      </c>
      <c r="E282">
        <f t="shared" si="13"/>
        <v>36948660448.824387</v>
      </c>
      <c r="F282" s="21"/>
      <c r="G282" s="1"/>
      <c r="I282" s="21">
        <f t="shared" si="14"/>
        <v>192220.34348326502</v>
      </c>
    </row>
    <row r="283" spans="2:9" x14ac:dyDescent="0.3">
      <c r="B283" s="2">
        <v>743400</v>
      </c>
      <c r="C283" s="2">
        <v>678421.60651673516</v>
      </c>
      <c r="D283">
        <f t="shared" si="12"/>
        <v>64978.393483264837</v>
      </c>
      <c r="E283">
        <f t="shared" si="13"/>
        <v>4222191619.6659942</v>
      </c>
      <c r="F283" s="21"/>
      <c r="G283" s="1"/>
      <c r="I283" s="21">
        <f t="shared" si="14"/>
        <v>64978.393483264837</v>
      </c>
    </row>
    <row r="284" spans="2:9" x14ac:dyDescent="0.3">
      <c r="B284" s="2">
        <v>966000</v>
      </c>
      <c r="C284" s="2">
        <v>754167.53151673498</v>
      </c>
      <c r="D284">
        <f t="shared" si="12"/>
        <v>211832.46848326502</v>
      </c>
      <c r="E284">
        <f t="shared" si="13"/>
        <v>44872994703.71347</v>
      </c>
      <c r="F284" s="21"/>
      <c r="G284" s="1"/>
      <c r="I284" s="21">
        <f t="shared" si="14"/>
        <v>211832.46848326502</v>
      </c>
    </row>
    <row r="285" spans="2:9" x14ac:dyDescent="0.3">
      <c r="B285" s="2">
        <v>676200</v>
      </c>
      <c r="C285" s="2">
        <v>645644.86651673494</v>
      </c>
      <c r="D285">
        <f t="shared" si="12"/>
        <v>30555.133483265061</v>
      </c>
      <c r="E285">
        <f t="shared" si="13"/>
        <v>933616182.18014562</v>
      </c>
      <c r="F285" s="21"/>
      <c r="G285" s="1"/>
      <c r="I285" s="21">
        <f t="shared" si="14"/>
        <v>30555.133483265061</v>
      </c>
    </row>
    <row r="286" spans="2:9" x14ac:dyDescent="0.3">
      <c r="B286" s="2">
        <v>462000</v>
      </c>
      <c r="C286" s="2">
        <v>586553.47151673492</v>
      </c>
      <c r="D286">
        <f t="shared" si="12"/>
        <v>-124553.47151673492</v>
      </c>
      <c r="E286">
        <f t="shared" si="13"/>
        <v>15513567266.870096</v>
      </c>
      <c r="F286" s="21"/>
      <c r="G286" s="1"/>
      <c r="I286" s="21">
        <f t="shared" si="14"/>
        <v>124553.47151673492</v>
      </c>
    </row>
    <row r="287" spans="2:9" x14ac:dyDescent="0.3">
      <c r="B287" s="2">
        <v>422100</v>
      </c>
      <c r="C287" s="2">
        <v>459732.37651673512</v>
      </c>
      <c r="D287">
        <f t="shared" si="12"/>
        <v>-37632.376516735123</v>
      </c>
      <c r="E287">
        <f t="shared" si="13"/>
        <v>1416195762.2973173</v>
      </c>
      <c r="F287" s="21"/>
      <c r="G287" s="1"/>
      <c r="I287" s="21">
        <f t="shared" si="14"/>
        <v>37632.376516735123</v>
      </c>
    </row>
    <row r="288" spans="2:9" x14ac:dyDescent="0.3">
      <c r="B288" s="2">
        <v>487200</v>
      </c>
      <c r="C288" s="2">
        <v>551917.42151673487</v>
      </c>
      <c r="D288">
        <f t="shared" si="12"/>
        <v>-64717.421516734874</v>
      </c>
      <c r="E288">
        <f t="shared" si="13"/>
        <v>4188344647.7747378</v>
      </c>
      <c r="F288" s="21"/>
      <c r="G288" s="1"/>
      <c r="I288" s="21">
        <f t="shared" si="14"/>
        <v>64717.421516734874</v>
      </c>
    </row>
    <row r="289" spans="2:9" x14ac:dyDescent="0.3">
      <c r="B289" s="2">
        <v>468300</v>
      </c>
      <c r="C289" s="2">
        <v>556102.77151673497</v>
      </c>
      <c r="D289">
        <f t="shared" si="12"/>
        <v>-87802.771516734967</v>
      </c>
      <c r="E289">
        <f t="shared" si="13"/>
        <v>7709326686.0199652</v>
      </c>
      <c r="F289" s="21"/>
      <c r="G289" s="1"/>
      <c r="I289" s="21">
        <f t="shared" si="14"/>
        <v>87802.771516734967</v>
      </c>
    </row>
    <row r="290" spans="2:9" x14ac:dyDescent="0.3">
      <c r="B290" s="2">
        <v>520800</v>
      </c>
      <c r="C290" s="2">
        <v>557022.43151673512</v>
      </c>
      <c r="D290">
        <f t="shared" si="12"/>
        <v>-36222.431516735116</v>
      </c>
      <c r="E290">
        <f t="shared" si="13"/>
        <v>1312064544.9845655</v>
      </c>
      <c r="F290" s="21"/>
      <c r="G290" s="1"/>
      <c r="I290" s="21">
        <f t="shared" si="14"/>
        <v>36222.431516735116</v>
      </c>
    </row>
    <row r="291" spans="2:9" x14ac:dyDescent="0.3">
      <c r="B291" s="2">
        <v>598500</v>
      </c>
      <c r="C291" s="2">
        <v>599013.29151673499</v>
      </c>
      <c r="D291">
        <f t="shared" si="12"/>
        <v>-513.29151673498563</v>
      </c>
      <c r="E291">
        <f t="shared" si="13"/>
        <v>263468.18115210201</v>
      </c>
      <c r="F291" s="21"/>
      <c r="G291" s="1"/>
      <c r="I291" s="21">
        <f t="shared" si="14"/>
        <v>513.29151673498563</v>
      </c>
    </row>
    <row r="292" spans="2:9" x14ac:dyDescent="0.3">
      <c r="B292" s="2">
        <v>783300</v>
      </c>
      <c r="C292" s="2">
        <v>621362.17651673523</v>
      </c>
      <c r="D292">
        <f t="shared" si="12"/>
        <v>161937.82348326477</v>
      </c>
      <c r="E292">
        <f t="shared" si="13"/>
        <v>26223858674.497021</v>
      </c>
      <c r="F292" s="21"/>
      <c r="G292" s="1"/>
      <c r="I292" s="21">
        <f t="shared" si="14"/>
        <v>161937.82348326477</v>
      </c>
    </row>
    <row r="293" spans="2:9" x14ac:dyDescent="0.3">
      <c r="B293" s="2">
        <v>585900</v>
      </c>
      <c r="C293" s="2">
        <v>564153.64651673497</v>
      </c>
      <c r="D293">
        <f t="shared" si="12"/>
        <v>21746.353483265033</v>
      </c>
      <c r="E293">
        <f t="shared" si="13"/>
        <v>472903889.81911325</v>
      </c>
      <c r="F293" s="21"/>
      <c r="G293" s="1"/>
      <c r="I293" s="21">
        <f t="shared" si="14"/>
        <v>21746.353483265033</v>
      </c>
    </row>
    <row r="294" spans="2:9" x14ac:dyDescent="0.3">
      <c r="B294" s="2">
        <v>501900</v>
      </c>
      <c r="C294" s="2">
        <v>540891.73151673505</v>
      </c>
      <c r="D294">
        <f t="shared" si="12"/>
        <v>-38991.731516735046</v>
      </c>
      <c r="E294">
        <f t="shared" si="13"/>
        <v>1520355126.6731491</v>
      </c>
      <c r="F294" s="21"/>
      <c r="G294" s="1"/>
      <c r="I294" s="21">
        <f t="shared" si="14"/>
        <v>38991.731516735046</v>
      </c>
    </row>
    <row r="295" spans="2:9" x14ac:dyDescent="0.3">
      <c r="B295" s="2">
        <v>455700</v>
      </c>
      <c r="C295" s="2">
        <v>510931.88151673507</v>
      </c>
      <c r="D295">
        <f t="shared" si="12"/>
        <v>-55231.881516735069</v>
      </c>
      <c r="E295">
        <f t="shared" si="13"/>
        <v>3050560735.8786612</v>
      </c>
      <c r="F295" s="21"/>
      <c r="G295" s="1"/>
      <c r="I295" s="21">
        <f t="shared" si="14"/>
        <v>55231.881516735069</v>
      </c>
    </row>
    <row r="296" spans="2:9" x14ac:dyDescent="0.3">
      <c r="B296" s="2">
        <v>600600</v>
      </c>
      <c r="C296" s="2">
        <v>613650.23651673505</v>
      </c>
      <c r="D296">
        <f t="shared" si="12"/>
        <v>-13050.236516735051</v>
      </c>
      <c r="E296">
        <f t="shared" si="13"/>
        <v>170308673.14272499</v>
      </c>
      <c r="F296" s="21"/>
      <c r="G296" s="1"/>
      <c r="I296" s="21">
        <f t="shared" si="14"/>
        <v>13050.236516735051</v>
      </c>
    </row>
    <row r="297" spans="2:9" x14ac:dyDescent="0.3">
      <c r="B297" s="2">
        <v>569100</v>
      </c>
      <c r="C297" s="2">
        <v>590332.47151673504</v>
      </c>
      <c r="D297">
        <f t="shared" si="12"/>
        <v>-21232.471516735037</v>
      </c>
      <c r="E297">
        <f t="shared" si="13"/>
        <v>450817846.70896465</v>
      </c>
      <c r="F297" s="21"/>
      <c r="G297" s="1"/>
      <c r="I297" s="21">
        <f t="shared" si="14"/>
        <v>21232.471516735037</v>
      </c>
    </row>
    <row r="298" spans="2:9" x14ac:dyDescent="0.3">
      <c r="B298" s="2">
        <v>426300</v>
      </c>
      <c r="C298" s="2">
        <v>432955.58651673503</v>
      </c>
      <c r="D298">
        <f t="shared" si="12"/>
        <v>-6655.5865167350275</v>
      </c>
      <c r="E298">
        <f t="shared" si="13"/>
        <v>44296831.8817451</v>
      </c>
      <c r="F298" s="21"/>
      <c r="G298" s="1"/>
      <c r="I298" s="21">
        <f t="shared" si="14"/>
        <v>6655.5865167350275</v>
      </c>
    </row>
    <row r="299" spans="2:9" x14ac:dyDescent="0.3">
      <c r="B299" s="2">
        <v>472500</v>
      </c>
      <c r="C299" s="2">
        <v>622318.19151673489</v>
      </c>
      <c r="D299">
        <f t="shared" si="12"/>
        <v>-149818.19151673489</v>
      </c>
      <c r="E299">
        <f t="shared" si="13"/>
        <v>22445490509.345055</v>
      </c>
      <c r="F299" s="21"/>
      <c r="G299" s="1"/>
      <c r="I299" s="21">
        <f t="shared" si="14"/>
        <v>149818.19151673489</v>
      </c>
    </row>
    <row r="300" spans="2:9" x14ac:dyDescent="0.3">
      <c r="B300" s="2">
        <v>609000</v>
      </c>
      <c r="C300" s="2">
        <v>685062.7015167349</v>
      </c>
      <c r="D300">
        <f t="shared" si="12"/>
        <v>-76062.701516734902</v>
      </c>
      <c r="E300">
        <f t="shared" si="13"/>
        <v>5785534562.0239058</v>
      </c>
      <c r="F300" s="21"/>
      <c r="G300" s="1"/>
      <c r="I300" s="21">
        <f t="shared" si="14"/>
        <v>76062.701516734902</v>
      </c>
    </row>
    <row r="301" spans="2:9" x14ac:dyDescent="0.3">
      <c r="B301" s="2">
        <v>520800</v>
      </c>
      <c r="C301" s="2">
        <v>655917.48151673493</v>
      </c>
      <c r="D301">
        <f t="shared" si="12"/>
        <v>-135117.48151673493</v>
      </c>
      <c r="E301">
        <f t="shared" si="13"/>
        <v>18256733811.425205</v>
      </c>
      <c r="F301" s="21"/>
      <c r="G301" s="1"/>
      <c r="I301" s="21">
        <f t="shared" si="14"/>
        <v>135117.48151673493</v>
      </c>
    </row>
    <row r="302" spans="2:9" x14ac:dyDescent="0.3">
      <c r="B302" s="2">
        <v>462000</v>
      </c>
      <c r="C302" s="2">
        <v>569041.04651673511</v>
      </c>
      <c r="D302">
        <f t="shared" si="12"/>
        <v>-107041.04651673511</v>
      </c>
      <c r="E302">
        <f t="shared" si="13"/>
        <v>11457785639.397848</v>
      </c>
      <c r="F302" s="21"/>
      <c r="G302" s="1"/>
      <c r="I302" s="21">
        <f t="shared" si="14"/>
        <v>107041.04651673511</v>
      </c>
    </row>
    <row r="303" spans="2:9" x14ac:dyDescent="0.3">
      <c r="B303" s="2">
        <v>554400</v>
      </c>
      <c r="C303" s="2">
        <v>569822.04151673499</v>
      </c>
      <c r="D303">
        <f t="shared" si="12"/>
        <v>-15422.041516734986</v>
      </c>
      <c r="E303">
        <f t="shared" si="13"/>
        <v>237839364.54389754</v>
      </c>
      <c r="F303" s="21"/>
      <c r="G303" s="1"/>
      <c r="I303" s="21">
        <f t="shared" si="14"/>
        <v>15422.041516734986</v>
      </c>
    </row>
    <row r="304" spans="2:9" x14ac:dyDescent="0.3">
      <c r="B304" s="2">
        <v>695100</v>
      </c>
      <c r="C304" s="2">
        <v>653313.88651673496</v>
      </c>
      <c r="D304">
        <f t="shared" si="12"/>
        <v>41786.113483265042</v>
      </c>
      <c r="E304">
        <f t="shared" si="13"/>
        <v>1746079280.0363045</v>
      </c>
      <c r="F304" s="21"/>
      <c r="G304" s="1"/>
      <c r="I304" s="21">
        <f t="shared" si="14"/>
        <v>41786.113483265042</v>
      </c>
    </row>
    <row r="305" spans="2:9" x14ac:dyDescent="0.3">
      <c r="B305" s="2">
        <v>758100</v>
      </c>
      <c r="C305" s="2">
        <v>608012.36651673517</v>
      </c>
      <c r="D305">
        <f t="shared" si="12"/>
        <v>150087.63348326483</v>
      </c>
      <c r="E305">
        <f t="shared" si="13"/>
        <v>22526297724.606838</v>
      </c>
      <c r="F305" s="21"/>
      <c r="G305" s="1"/>
      <c r="I305" s="21">
        <f t="shared" si="14"/>
        <v>150087.63348326483</v>
      </c>
    </row>
    <row r="306" spans="2:9" x14ac:dyDescent="0.3">
      <c r="B306" s="2">
        <v>596400</v>
      </c>
      <c r="C306" s="2">
        <v>532644.06651673513</v>
      </c>
      <c r="D306">
        <f t="shared" si="12"/>
        <v>63755.933483264875</v>
      </c>
      <c r="E306">
        <f t="shared" si="13"/>
        <v>4064819054.322495</v>
      </c>
      <c r="F306" s="21"/>
      <c r="G306" s="1"/>
      <c r="I306" s="21">
        <f t="shared" si="14"/>
        <v>63755.933483264875</v>
      </c>
    </row>
    <row r="307" spans="2:9" x14ac:dyDescent="0.3">
      <c r="B307" s="2">
        <v>701400</v>
      </c>
      <c r="C307" s="2">
        <v>628930.86651673494</v>
      </c>
      <c r="D307">
        <f t="shared" si="12"/>
        <v>72469.133483265061</v>
      </c>
      <c r="E307">
        <f t="shared" si="13"/>
        <v>5251775307.8152895</v>
      </c>
      <c r="F307" s="21"/>
      <c r="G307" s="1"/>
      <c r="I307" s="21">
        <f t="shared" si="14"/>
        <v>72469.133483265061</v>
      </c>
    </row>
    <row r="308" spans="2:9" x14ac:dyDescent="0.3">
      <c r="B308" s="2">
        <v>592200</v>
      </c>
      <c r="C308" s="2">
        <v>568002.311516735</v>
      </c>
      <c r="D308">
        <f t="shared" si="12"/>
        <v>24197.688483264996</v>
      </c>
      <c r="E308">
        <f t="shared" si="13"/>
        <v>585528127.93313539</v>
      </c>
      <c r="F308" s="21"/>
      <c r="G308" s="1"/>
      <c r="I308" s="21">
        <f t="shared" si="14"/>
        <v>24197.688483264996</v>
      </c>
    </row>
    <row r="309" spans="2:9" x14ac:dyDescent="0.3">
      <c r="B309" s="2">
        <v>478800</v>
      </c>
      <c r="C309" s="2">
        <v>581915.9115167351</v>
      </c>
      <c r="D309">
        <f t="shared" si="12"/>
        <v>-103115.9115167351</v>
      </c>
      <c r="E309">
        <f t="shared" si="13"/>
        <v>10632891207.927141</v>
      </c>
      <c r="F309" s="21"/>
      <c r="G309" s="1"/>
      <c r="I309" s="21">
        <f t="shared" si="14"/>
        <v>103115.9115167351</v>
      </c>
    </row>
    <row r="310" spans="2:9" x14ac:dyDescent="0.3">
      <c r="B310" s="2">
        <v>426300</v>
      </c>
      <c r="C310" s="2">
        <v>465613.24651673512</v>
      </c>
      <c r="D310">
        <f t="shared" si="12"/>
        <v>-39313.246516735118</v>
      </c>
      <c r="E310">
        <f t="shared" si="13"/>
        <v>1545531351.685586</v>
      </c>
      <c r="F310" s="21"/>
      <c r="G310" s="1"/>
      <c r="I310" s="21">
        <f t="shared" si="14"/>
        <v>39313.246516735118</v>
      </c>
    </row>
    <row r="311" spans="2:9" x14ac:dyDescent="0.3">
      <c r="B311" s="2">
        <v>338100</v>
      </c>
      <c r="C311" s="2">
        <v>350167.9815167351</v>
      </c>
      <c r="D311">
        <f t="shared" si="12"/>
        <v>-12067.981516735104</v>
      </c>
      <c r="E311">
        <f t="shared" si="13"/>
        <v>145636177.8882601</v>
      </c>
      <c r="F311" s="21"/>
      <c r="G311" s="1"/>
      <c r="I311" s="21">
        <f t="shared" si="14"/>
        <v>12067.981516735104</v>
      </c>
    </row>
    <row r="312" spans="2:9" x14ac:dyDescent="0.3">
      <c r="B312" s="2">
        <v>464100</v>
      </c>
      <c r="C312" s="2">
        <v>521885.50651673489</v>
      </c>
      <c r="D312">
        <f t="shared" si="12"/>
        <v>-57785.506516734895</v>
      </c>
      <c r="E312">
        <f t="shared" si="13"/>
        <v>3339164763.3956108</v>
      </c>
      <c r="F312" s="21"/>
      <c r="G312" s="1"/>
      <c r="I312" s="21">
        <f t="shared" si="14"/>
        <v>57785.506516734895</v>
      </c>
    </row>
    <row r="313" spans="2:9" x14ac:dyDescent="0.3">
      <c r="B313" s="2">
        <v>407400</v>
      </c>
      <c r="C313" s="2">
        <v>451042.31151673506</v>
      </c>
      <c r="D313">
        <f t="shared" si="12"/>
        <v>-43642.311516735062</v>
      </c>
      <c r="E313">
        <f t="shared" si="13"/>
        <v>1904651354.5237458</v>
      </c>
      <c r="F313" s="21"/>
      <c r="G313" s="1"/>
      <c r="I313" s="21">
        <f t="shared" si="14"/>
        <v>43642.311516735062</v>
      </c>
    </row>
    <row r="314" spans="2:9" x14ac:dyDescent="0.3">
      <c r="B314" s="2">
        <v>453600</v>
      </c>
      <c r="C314" s="2">
        <v>513520.78651673504</v>
      </c>
      <c r="D314">
        <f t="shared" si="12"/>
        <v>-59920.786516735039</v>
      </c>
      <c r="E314">
        <f t="shared" si="13"/>
        <v>3590500656.7841358</v>
      </c>
      <c r="F314" s="21"/>
      <c r="G314" s="1"/>
      <c r="I314" s="21">
        <f t="shared" si="14"/>
        <v>59920.786516735039</v>
      </c>
    </row>
    <row r="315" spans="2:9" x14ac:dyDescent="0.3">
      <c r="B315" s="2">
        <v>499800</v>
      </c>
      <c r="C315" s="2">
        <v>524605.23151673493</v>
      </c>
      <c r="D315">
        <f t="shared" si="12"/>
        <v>-24805.23151673493</v>
      </c>
      <c r="E315">
        <f t="shared" si="13"/>
        <v>615299510.59881985</v>
      </c>
      <c r="F315" s="21"/>
      <c r="G315" s="1"/>
      <c r="I315" s="21">
        <f t="shared" si="14"/>
        <v>24805.23151673493</v>
      </c>
    </row>
    <row r="316" spans="2:9" x14ac:dyDescent="0.3">
      <c r="B316" s="2">
        <v>340200</v>
      </c>
      <c r="C316" s="2">
        <v>425901.42151673505</v>
      </c>
      <c r="D316">
        <f t="shared" si="12"/>
        <v>-85701.421516735048</v>
      </c>
      <c r="E316">
        <f t="shared" si="13"/>
        <v>7344733649.9890976</v>
      </c>
      <c r="F316" s="21"/>
      <c r="G316" s="1"/>
      <c r="I316" s="21">
        <f t="shared" si="14"/>
        <v>85701.421516735048</v>
      </c>
    </row>
    <row r="317" spans="2:9" x14ac:dyDescent="0.3">
      <c r="B317" s="2">
        <v>373800</v>
      </c>
      <c r="C317" s="2">
        <v>369894.83651673497</v>
      </c>
      <c r="D317">
        <f t="shared" si="12"/>
        <v>3905.1634832650307</v>
      </c>
      <c r="E317">
        <f t="shared" si="13"/>
        <v>15250301.831026668</v>
      </c>
      <c r="F317" s="21"/>
      <c r="G317" s="1"/>
      <c r="I317" s="21">
        <f t="shared" si="14"/>
        <v>3905.1634832650307</v>
      </c>
    </row>
    <row r="318" spans="2:9" x14ac:dyDescent="0.3">
      <c r="B318" s="2">
        <v>415800</v>
      </c>
      <c r="C318" s="2">
        <v>384397.366516735</v>
      </c>
      <c r="D318">
        <f t="shared" si="12"/>
        <v>31402.633483265003</v>
      </c>
      <c r="E318">
        <f t="shared" si="13"/>
        <v>986125389.68427622</v>
      </c>
      <c r="F318" s="21"/>
      <c r="G318" s="1"/>
      <c r="I318" s="21">
        <f t="shared" si="14"/>
        <v>31402.633483265003</v>
      </c>
    </row>
    <row r="319" spans="2:9" x14ac:dyDescent="0.3">
      <c r="B319" s="2">
        <v>485100</v>
      </c>
      <c r="C319" s="2">
        <v>496873.78651673504</v>
      </c>
      <c r="D319">
        <f t="shared" si="12"/>
        <v>-11773.786516735039</v>
      </c>
      <c r="E319">
        <f t="shared" si="13"/>
        <v>138622048.94165182</v>
      </c>
      <c r="F319" s="21"/>
      <c r="G319" s="1"/>
      <c r="I319" s="21">
        <f t="shared" si="14"/>
        <v>11773.786516735039</v>
      </c>
    </row>
    <row r="320" spans="2:9" x14ac:dyDescent="0.3">
      <c r="B320" s="2">
        <v>441000</v>
      </c>
      <c r="C320" s="2">
        <v>447875.67151673516</v>
      </c>
      <c r="D320">
        <f t="shared" si="12"/>
        <v>-6875.6715167351649</v>
      </c>
      <c r="E320">
        <f t="shared" si="13"/>
        <v>47274858.806043245</v>
      </c>
      <c r="F320" s="21"/>
      <c r="G320" s="1"/>
      <c r="I320" s="21">
        <f t="shared" si="14"/>
        <v>6875.6715167351649</v>
      </c>
    </row>
    <row r="321" spans="2:9" x14ac:dyDescent="0.3">
      <c r="B321" s="2">
        <v>499800</v>
      </c>
      <c r="C321" s="2">
        <v>511575.08651673509</v>
      </c>
      <c r="D321">
        <f t="shared" si="12"/>
        <v>-11775.086516735086</v>
      </c>
      <c r="E321">
        <f t="shared" si="13"/>
        <v>138652662.47659642</v>
      </c>
      <c r="F321" s="21"/>
      <c r="G321" s="1"/>
      <c r="I321" s="21">
        <f t="shared" si="14"/>
        <v>11775.086516735086</v>
      </c>
    </row>
    <row r="322" spans="2:9" x14ac:dyDescent="0.3">
      <c r="B322" s="2">
        <v>485100</v>
      </c>
      <c r="C322" s="2">
        <v>510827.00651673513</v>
      </c>
      <c r="D322">
        <f t="shared" si="12"/>
        <v>-25727.006516735128</v>
      </c>
      <c r="E322">
        <f t="shared" si="13"/>
        <v>661878864.31213176</v>
      </c>
      <c r="F322" s="21"/>
      <c r="G322" s="1"/>
      <c r="I322" s="21">
        <f t="shared" si="14"/>
        <v>25727.006516735128</v>
      </c>
    </row>
    <row r="323" spans="2:9" x14ac:dyDescent="0.3">
      <c r="B323" s="2">
        <v>428400</v>
      </c>
      <c r="C323" s="2">
        <v>472823.06151673495</v>
      </c>
      <c r="D323">
        <f t="shared" si="12"/>
        <v>-44423.061516734946</v>
      </c>
      <c r="E323">
        <f t="shared" si="13"/>
        <v>1973408394.5196173</v>
      </c>
      <c r="F323" s="21"/>
      <c r="G323" s="1"/>
      <c r="I323" s="21">
        <f t="shared" si="14"/>
        <v>44423.061516734946</v>
      </c>
    </row>
    <row r="324" spans="2:9" x14ac:dyDescent="0.3">
      <c r="B324" s="2">
        <v>388500</v>
      </c>
      <c r="C324" s="2">
        <v>400166.95651673496</v>
      </c>
      <c r="D324">
        <f t="shared" si="12"/>
        <v>-11666.956516734965</v>
      </c>
      <c r="E324">
        <f t="shared" si="13"/>
        <v>136117874.36338446</v>
      </c>
      <c r="F324" s="21"/>
      <c r="G324" s="1"/>
      <c r="I324" s="21">
        <f t="shared" si="14"/>
        <v>11666.956516734965</v>
      </c>
    </row>
    <row r="325" spans="2:9" x14ac:dyDescent="0.3">
      <c r="B325" s="2">
        <v>525000</v>
      </c>
      <c r="C325" s="2">
        <v>522339.79151673504</v>
      </c>
      <c r="D325">
        <f t="shared" si="12"/>
        <v>2660.2084832649562</v>
      </c>
      <c r="E325">
        <f t="shared" si="13"/>
        <v>7076709.1744348388</v>
      </c>
      <c r="F325" s="21"/>
      <c r="G325" s="1"/>
      <c r="I325" s="21">
        <f t="shared" si="14"/>
        <v>2660.2084832649562</v>
      </c>
    </row>
    <row r="326" spans="2:9" x14ac:dyDescent="0.3">
      <c r="B326" s="2">
        <v>516600</v>
      </c>
      <c r="C326" s="2">
        <v>535007.79151673499</v>
      </c>
      <c r="D326">
        <f t="shared" si="12"/>
        <v>-18407.791516734986</v>
      </c>
      <c r="E326">
        <f t="shared" si="13"/>
        <v>338846788.52358049</v>
      </c>
      <c r="F326" s="21"/>
      <c r="G326" s="1"/>
      <c r="I326" s="21">
        <f t="shared" si="14"/>
        <v>18407.791516734986</v>
      </c>
    </row>
    <row r="327" spans="2:9" x14ac:dyDescent="0.3">
      <c r="B327" s="2">
        <v>483000</v>
      </c>
      <c r="C327" s="2">
        <v>513098.12651673501</v>
      </c>
      <c r="D327">
        <f t="shared" si="12"/>
        <v>-30098.126516735007</v>
      </c>
      <c r="E327">
        <f t="shared" si="13"/>
        <v>905897219.81738698</v>
      </c>
      <c r="F327" s="21"/>
      <c r="G327" s="1"/>
      <c r="I327" s="21">
        <f t="shared" si="14"/>
        <v>30098.126516735007</v>
      </c>
    </row>
    <row r="328" spans="2:9" x14ac:dyDescent="0.3">
      <c r="B328" s="2">
        <v>466200</v>
      </c>
      <c r="C328" s="2">
        <v>421237.38151673501</v>
      </c>
      <c r="D328">
        <f t="shared" si="12"/>
        <v>44962.618483264989</v>
      </c>
      <c r="E328">
        <f t="shared" si="13"/>
        <v>2021637060.8716424</v>
      </c>
      <c r="F328" s="21"/>
      <c r="G328" s="1"/>
      <c r="I328" s="21">
        <f t="shared" si="14"/>
        <v>44962.618483264989</v>
      </c>
    </row>
    <row r="329" spans="2:9" x14ac:dyDescent="0.3">
      <c r="B329" s="2">
        <v>405300</v>
      </c>
      <c r="C329" s="2">
        <v>485848.48651673511</v>
      </c>
      <c r="D329">
        <f t="shared" si="12"/>
        <v>-80548.486516735109</v>
      </c>
      <c r="E329">
        <f t="shared" si="13"/>
        <v>6488058680.1366577</v>
      </c>
      <c r="F329" s="21"/>
      <c r="G329" s="1"/>
      <c r="I329" s="21">
        <f t="shared" si="14"/>
        <v>80548.486516735109</v>
      </c>
    </row>
    <row r="330" spans="2:9" x14ac:dyDescent="0.3">
      <c r="B330" s="2">
        <v>474600</v>
      </c>
      <c r="C330" s="2">
        <v>554634.08151673502</v>
      </c>
      <c r="D330">
        <f t="shared" si="12"/>
        <v>-80034.081516735023</v>
      </c>
      <c r="E330">
        <f t="shared" si="13"/>
        <v>6405454204.2273865</v>
      </c>
      <c r="F330" s="21"/>
      <c r="G330" s="1"/>
      <c r="I330" s="21">
        <f t="shared" si="14"/>
        <v>80034.081516735023</v>
      </c>
    </row>
    <row r="331" spans="2:9" x14ac:dyDescent="0.3">
      <c r="B331" s="2">
        <v>415800</v>
      </c>
      <c r="C331" s="2">
        <v>519287.54651673505</v>
      </c>
      <c r="D331">
        <f t="shared" si="12"/>
        <v>-103487.54651673505</v>
      </c>
      <c r="E331">
        <f t="shared" si="13"/>
        <v>10709672284.0534</v>
      </c>
      <c r="F331" s="21"/>
      <c r="G331" s="1"/>
      <c r="I331" s="21">
        <f t="shared" si="14"/>
        <v>103487.54651673505</v>
      </c>
    </row>
    <row r="332" spans="2:9" x14ac:dyDescent="0.3">
      <c r="B332" s="2">
        <v>359100</v>
      </c>
      <c r="C332" s="2">
        <v>445136.41651673504</v>
      </c>
      <c r="D332">
        <f t="shared" si="12"/>
        <v>-86036.416516735044</v>
      </c>
      <c r="E332">
        <f t="shared" si="13"/>
        <v>7402264967.0411186</v>
      </c>
      <c r="F332" s="21"/>
      <c r="G332" s="1"/>
      <c r="I332" s="21">
        <f t="shared" si="14"/>
        <v>86036.416516735044</v>
      </c>
    </row>
    <row r="333" spans="2:9" x14ac:dyDescent="0.3">
      <c r="B333" s="2">
        <v>407400</v>
      </c>
      <c r="C333" s="2">
        <v>523175.44151673495</v>
      </c>
      <c r="D333">
        <f t="shared" ref="D333:D396" si="15">B333-C333</f>
        <v>-115775.44151673495</v>
      </c>
      <c r="E333">
        <f t="shared" ref="E333:E396" si="16">(D333)^2</f>
        <v>13403952858.394915</v>
      </c>
      <c r="F333" s="21"/>
      <c r="G333" s="1"/>
      <c r="I333" s="21">
        <f t="shared" ref="I333:I396" si="17">ABS(D333)</f>
        <v>115775.44151673495</v>
      </c>
    </row>
    <row r="334" spans="2:9" x14ac:dyDescent="0.3">
      <c r="B334" s="2">
        <v>466200</v>
      </c>
      <c r="C334" s="2">
        <v>506848.21651673509</v>
      </c>
      <c r="D334">
        <f t="shared" si="15"/>
        <v>-40648.21651673509</v>
      </c>
      <c r="E334">
        <f t="shared" si="16"/>
        <v>1652277505.9913754</v>
      </c>
      <c r="F334" s="21"/>
      <c r="G334" s="1"/>
      <c r="I334" s="21">
        <f t="shared" si="17"/>
        <v>40648.21651673509</v>
      </c>
    </row>
    <row r="335" spans="2:9" x14ac:dyDescent="0.3">
      <c r="B335" s="2">
        <v>434700</v>
      </c>
      <c r="C335" s="2">
        <v>494720.39651673514</v>
      </c>
      <c r="D335">
        <f t="shared" si="15"/>
        <v>-60020.396516735142</v>
      </c>
      <c r="E335">
        <f t="shared" si="16"/>
        <v>3602447998.0261121</v>
      </c>
      <c r="F335" s="21"/>
      <c r="G335" s="1"/>
      <c r="I335" s="21">
        <f t="shared" si="17"/>
        <v>60020.396516735142</v>
      </c>
    </row>
    <row r="336" spans="2:9" x14ac:dyDescent="0.3">
      <c r="B336" s="2">
        <v>443100</v>
      </c>
      <c r="C336" s="2">
        <v>457418.41151673504</v>
      </c>
      <c r="D336">
        <f t="shared" si="15"/>
        <v>-14318.411516735039</v>
      </c>
      <c r="E336">
        <f t="shared" si="16"/>
        <v>205016908.36257061</v>
      </c>
      <c r="F336" s="21"/>
      <c r="G336" s="1"/>
      <c r="I336" s="21">
        <f t="shared" si="17"/>
        <v>14318.411516735039</v>
      </c>
    </row>
    <row r="337" spans="2:9" x14ac:dyDescent="0.3">
      <c r="B337" s="2">
        <v>409500</v>
      </c>
      <c r="C337" s="2">
        <v>423455.78151673515</v>
      </c>
      <c r="D337">
        <f t="shared" si="15"/>
        <v>-13955.781516735151</v>
      </c>
      <c r="E337">
        <f t="shared" si="16"/>
        <v>194763837.74284646</v>
      </c>
      <c r="F337" s="21"/>
      <c r="G337" s="1"/>
      <c r="I337" s="21">
        <f t="shared" si="17"/>
        <v>13955.781516735151</v>
      </c>
    </row>
    <row r="338" spans="2:9" x14ac:dyDescent="0.3">
      <c r="B338" s="2">
        <v>388500</v>
      </c>
      <c r="C338" s="2">
        <v>417461.2315167351</v>
      </c>
      <c r="D338">
        <f t="shared" si="15"/>
        <v>-28961.231516735104</v>
      </c>
      <c r="E338">
        <f t="shared" si="16"/>
        <v>838752930.9659307</v>
      </c>
      <c r="F338" s="21"/>
      <c r="G338" s="1"/>
      <c r="I338" s="21">
        <f t="shared" si="17"/>
        <v>28961.231516735104</v>
      </c>
    </row>
    <row r="339" spans="2:9" x14ac:dyDescent="0.3">
      <c r="B339" s="2">
        <v>432600</v>
      </c>
      <c r="C339" s="2">
        <v>453898.34151673497</v>
      </c>
      <c r="D339">
        <f t="shared" si="15"/>
        <v>-21298.341516734974</v>
      </c>
      <c r="E339">
        <f t="shared" si="16"/>
        <v>453619351.36347663</v>
      </c>
      <c r="F339" s="21"/>
      <c r="G339" s="1"/>
      <c r="I339" s="21">
        <f t="shared" si="17"/>
        <v>21298.341516734974</v>
      </c>
    </row>
    <row r="340" spans="2:9" x14ac:dyDescent="0.3">
      <c r="B340" s="2">
        <v>399000</v>
      </c>
      <c r="C340" s="2">
        <v>434148.26151673513</v>
      </c>
      <c r="D340">
        <f t="shared" si="15"/>
        <v>-35148.261516735132</v>
      </c>
      <c r="E340">
        <f t="shared" si="16"/>
        <v>1235400287.6488039</v>
      </c>
      <c r="F340" s="21"/>
      <c r="G340" s="1"/>
      <c r="I340" s="21">
        <f t="shared" si="17"/>
        <v>35148.261516735132</v>
      </c>
    </row>
    <row r="341" spans="2:9" x14ac:dyDescent="0.3">
      <c r="B341" s="2">
        <v>392700</v>
      </c>
      <c r="C341" s="2">
        <v>437558.70651673508</v>
      </c>
      <c r="D341">
        <f t="shared" si="15"/>
        <v>-44858.706516735081</v>
      </c>
      <c r="E341">
        <f t="shared" si="16"/>
        <v>2012303550.3545704</v>
      </c>
      <c r="F341" s="21"/>
      <c r="G341" s="1"/>
      <c r="I341" s="21">
        <f t="shared" si="17"/>
        <v>44858.706516735081</v>
      </c>
    </row>
    <row r="342" spans="2:9" x14ac:dyDescent="0.3">
      <c r="B342" s="2">
        <v>686700</v>
      </c>
      <c r="C342" s="2">
        <v>680594.55151673499</v>
      </c>
      <c r="D342">
        <f t="shared" si="15"/>
        <v>6105.4484832650051</v>
      </c>
      <c r="E342">
        <f t="shared" si="16"/>
        <v>37276501.181802951</v>
      </c>
      <c r="F342" s="21"/>
      <c r="G342" s="1"/>
      <c r="I342" s="21">
        <f t="shared" si="17"/>
        <v>6105.4484832650051</v>
      </c>
    </row>
    <row r="343" spans="2:9" x14ac:dyDescent="0.3">
      <c r="B343" s="2">
        <v>346500</v>
      </c>
      <c r="C343" s="2">
        <v>577832.84651673515</v>
      </c>
      <c r="D343">
        <f t="shared" si="15"/>
        <v>-231332.84651673515</v>
      </c>
      <c r="E343">
        <f t="shared" si="16"/>
        <v>53514885877.535347</v>
      </c>
      <c r="F343" s="21"/>
      <c r="G343" s="1"/>
      <c r="I343" s="21">
        <f t="shared" si="17"/>
        <v>231332.84651673515</v>
      </c>
    </row>
    <row r="344" spans="2:9" x14ac:dyDescent="0.3">
      <c r="B344" s="2">
        <v>501900</v>
      </c>
      <c r="C344" s="2">
        <v>574148.61651673494</v>
      </c>
      <c r="D344">
        <f t="shared" si="15"/>
        <v>-72248.616516734939</v>
      </c>
      <c r="E344">
        <f t="shared" si="16"/>
        <v>5219862588.5822248</v>
      </c>
      <c r="F344" s="21"/>
      <c r="G344" s="1"/>
      <c r="I344" s="21">
        <f t="shared" si="17"/>
        <v>72248.616516734939</v>
      </c>
    </row>
    <row r="345" spans="2:9" x14ac:dyDescent="0.3">
      <c r="B345" s="2">
        <v>655200</v>
      </c>
      <c r="C345" s="2">
        <v>617439.11651673494</v>
      </c>
      <c r="D345">
        <f t="shared" si="15"/>
        <v>37760.883483265061</v>
      </c>
      <c r="E345">
        <f t="shared" si="16"/>
        <v>1425884321.4367201</v>
      </c>
      <c r="F345" s="21"/>
      <c r="G345" s="1"/>
      <c r="I345" s="21">
        <f t="shared" si="17"/>
        <v>37760.883483265061</v>
      </c>
    </row>
    <row r="346" spans="2:9" x14ac:dyDescent="0.3">
      <c r="B346" s="2">
        <v>367500</v>
      </c>
      <c r="C346" s="2">
        <v>455376.73651673511</v>
      </c>
      <c r="D346">
        <f t="shared" si="15"/>
        <v>-87876.736516735109</v>
      </c>
      <c r="E346">
        <f t="shared" si="16"/>
        <v>7722320820.831686</v>
      </c>
      <c r="F346" s="21"/>
      <c r="G346" s="1"/>
      <c r="I346" s="21">
        <f t="shared" si="17"/>
        <v>87876.736516735109</v>
      </c>
    </row>
    <row r="347" spans="2:9" x14ac:dyDescent="0.3">
      <c r="B347" s="2">
        <v>361200</v>
      </c>
      <c r="C347" s="2">
        <v>422118.33651673509</v>
      </c>
      <c r="D347">
        <f t="shared" si="15"/>
        <v>-60918.336516735086</v>
      </c>
      <c r="E347">
        <f t="shared" si="16"/>
        <v>3711043723.9661794</v>
      </c>
      <c r="F347" s="21"/>
      <c r="G347" s="1"/>
      <c r="I347" s="21">
        <f t="shared" si="17"/>
        <v>60918.336516735086</v>
      </c>
    </row>
    <row r="348" spans="2:9" x14ac:dyDescent="0.3">
      <c r="B348" s="2">
        <v>485100</v>
      </c>
      <c r="C348" s="2">
        <v>561615.49651673506</v>
      </c>
      <c r="D348">
        <f t="shared" si="15"/>
        <v>-76515.49651673506</v>
      </c>
      <c r="E348">
        <f t="shared" si="16"/>
        <v>5854621207.2024956</v>
      </c>
      <c r="F348" s="21"/>
      <c r="G348" s="1"/>
      <c r="I348" s="21">
        <f t="shared" si="17"/>
        <v>76515.49651673506</v>
      </c>
    </row>
    <row r="349" spans="2:9" x14ac:dyDescent="0.3">
      <c r="B349" s="2">
        <v>514500</v>
      </c>
      <c r="C349" s="2">
        <v>593473.6615167351</v>
      </c>
      <c r="D349">
        <f t="shared" si="15"/>
        <v>-78973.661516735097</v>
      </c>
      <c r="E349">
        <f t="shared" si="16"/>
        <v>6236839213.3598461</v>
      </c>
      <c r="F349" s="21"/>
      <c r="G349" s="1"/>
      <c r="I349" s="21">
        <f t="shared" si="17"/>
        <v>78973.661516735097</v>
      </c>
    </row>
    <row r="350" spans="2:9" x14ac:dyDescent="0.3">
      <c r="B350" s="2">
        <v>558600</v>
      </c>
      <c r="C350" s="2">
        <v>568245.92151673511</v>
      </c>
      <c r="D350">
        <f t="shared" si="15"/>
        <v>-9645.9215167351067</v>
      </c>
      <c r="E350">
        <f t="shared" si="16"/>
        <v>93043801.907013297</v>
      </c>
      <c r="F350" s="21"/>
      <c r="G350" s="1"/>
      <c r="I350" s="21">
        <f t="shared" si="17"/>
        <v>9645.9215167351067</v>
      </c>
    </row>
    <row r="351" spans="2:9" x14ac:dyDescent="0.3">
      <c r="B351" s="2">
        <v>480900</v>
      </c>
      <c r="C351" s="2">
        <v>528401.82651673513</v>
      </c>
      <c r="D351">
        <f t="shared" si="15"/>
        <v>-47501.826516735135</v>
      </c>
      <c r="E351">
        <f t="shared" si="16"/>
        <v>2256423522.4260011</v>
      </c>
      <c r="F351" s="21"/>
      <c r="G351" s="1"/>
      <c r="I351" s="21">
        <f t="shared" si="17"/>
        <v>47501.826516735135</v>
      </c>
    </row>
    <row r="352" spans="2:9" x14ac:dyDescent="0.3">
      <c r="B352" s="2">
        <v>506100</v>
      </c>
      <c r="C352" s="2">
        <v>568710.92151673487</v>
      </c>
      <c r="D352">
        <f t="shared" si="15"/>
        <v>-62610.921516734874</v>
      </c>
      <c r="E352">
        <f t="shared" si="16"/>
        <v>3920127493.1747341</v>
      </c>
      <c r="F352" s="21"/>
      <c r="G352" s="1"/>
      <c r="I352" s="21">
        <f t="shared" si="17"/>
        <v>62610.921516734874</v>
      </c>
    </row>
    <row r="353" spans="2:9" x14ac:dyDescent="0.3">
      <c r="B353" s="2">
        <v>390600</v>
      </c>
      <c r="C353" s="2">
        <v>483595.54651673505</v>
      </c>
      <c r="D353">
        <f t="shared" si="15"/>
        <v>-92995.546516735048</v>
      </c>
      <c r="E353">
        <f t="shared" si="16"/>
        <v>8648171671.9462318</v>
      </c>
      <c r="F353" s="21"/>
      <c r="G353" s="1"/>
      <c r="I353" s="21">
        <f t="shared" si="17"/>
        <v>92995.546516735048</v>
      </c>
    </row>
    <row r="354" spans="2:9" x14ac:dyDescent="0.3">
      <c r="B354" s="2">
        <v>632100</v>
      </c>
      <c r="C354" s="2">
        <v>617689.21651673503</v>
      </c>
      <c r="D354">
        <f t="shared" si="15"/>
        <v>14410.783483264968</v>
      </c>
      <c r="E354">
        <f t="shared" si="16"/>
        <v>207670680.60154241</v>
      </c>
      <c r="F354" s="21"/>
      <c r="G354" s="1"/>
      <c r="I354" s="21">
        <f t="shared" si="17"/>
        <v>14410.783483264968</v>
      </c>
    </row>
    <row r="355" spans="2:9" x14ac:dyDescent="0.3">
      <c r="B355" s="2">
        <v>382200</v>
      </c>
      <c r="C355" s="2">
        <v>389523.54151673499</v>
      </c>
      <c r="D355">
        <f t="shared" si="15"/>
        <v>-7323.5415167349856</v>
      </c>
      <c r="E355">
        <f t="shared" si="16"/>
        <v>53634260.347340971</v>
      </c>
      <c r="F355" s="21"/>
      <c r="G355" s="1"/>
      <c r="I355" s="21">
        <f t="shared" si="17"/>
        <v>7323.5415167349856</v>
      </c>
    </row>
    <row r="356" spans="2:9" x14ac:dyDescent="0.3">
      <c r="B356" s="2">
        <v>432600</v>
      </c>
      <c r="C356" s="2">
        <v>440061.306516735</v>
      </c>
      <c r="D356">
        <f t="shared" si="15"/>
        <v>-7461.3065167349996</v>
      </c>
      <c r="E356">
        <f t="shared" si="16"/>
        <v>55671094.936672173</v>
      </c>
      <c r="F356" s="21"/>
      <c r="G356" s="1"/>
      <c r="I356" s="21">
        <f t="shared" si="17"/>
        <v>7461.3065167349996</v>
      </c>
    </row>
    <row r="357" spans="2:9" x14ac:dyDescent="0.3">
      <c r="B357" s="2">
        <v>373800</v>
      </c>
      <c r="C357" s="2">
        <v>368525.37651673501</v>
      </c>
      <c r="D357">
        <f t="shared" si="15"/>
        <v>5274.6234832649934</v>
      </c>
      <c r="E357">
        <f t="shared" si="16"/>
        <v>27821652.890210532</v>
      </c>
      <c r="F357" s="21"/>
      <c r="G357" s="1"/>
      <c r="I357" s="21">
        <f t="shared" si="17"/>
        <v>5274.6234832649934</v>
      </c>
    </row>
    <row r="358" spans="2:9" x14ac:dyDescent="0.3">
      <c r="B358" s="2">
        <v>455700</v>
      </c>
      <c r="C358" s="2">
        <v>431342.94151673507</v>
      </c>
      <c r="D358">
        <f t="shared" si="15"/>
        <v>24357.058483264933</v>
      </c>
      <c r="E358">
        <f t="shared" si="16"/>
        <v>593266297.95718825</v>
      </c>
      <c r="F358" s="21"/>
      <c r="G358" s="1"/>
      <c r="I358" s="21">
        <f t="shared" si="17"/>
        <v>24357.058483264933</v>
      </c>
    </row>
    <row r="359" spans="2:9" x14ac:dyDescent="0.3">
      <c r="B359" s="2">
        <v>476700</v>
      </c>
      <c r="C359" s="2">
        <v>427563.2315167351</v>
      </c>
      <c r="D359">
        <f t="shared" si="15"/>
        <v>49136.768483264896</v>
      </c>
      <c r="E359">
        <f t="shared" si="16"/>
        <v>2414422016.9779744</v>
      </c>
      <c r="F359" s="21"/>
      <c r="G359" s="1"/>
      <c r="I359" s="21">
        <f t="shared" si="17"/>
        <v>49136.768483264896</v>
      </c>
    </row>
    <row r="360" spans="2:9" x14ac:dyDescent="0.3">
      <c r="B360" s="2">
        <v>474600</v>
      </c>
      <c r="C360" s="2">
        <v>413354.44651673507</v>
      </c>
      <c r="D360">
        <f t="shared" si="15"/>
        <v>61245.553483264928</v>
      </c>
      <c r="E360">
        <f t="shared" si="16"/>
        <v>3751017821.4714646</v>
      </c>
      <c r="F360" s="21"/>
      <c r="G360" s="1"/>
      <c r="I360" s="21">
        <f t="shared" si="17"/>
        <v>61245.553483264928</v>
      </c>
    </row>
    <row r="361" spans="2:9" x14ac:dyDescent="0.3">
      <c r="B361" s="2">
        <v>525000</v>
      </c>
      <c r="C361" s="2">
        <v>491055.15651673515</v>
      </c>
      <c r="D361">
        <f t="shared" si="15"/>
        <v>33944.843483264849</v>
      </c>
      <c r="E361">
        <f t="shared" si="16"/>
        <v>1152252399.103348</v>
      </c>
      <c r="F361" s="21"/>
      <c r="G361" s="1"/>
      <c r="I361" s="21">
        <f t="shared" si="17"/>
        <v>33944.843483264849</v>
      </c>
    </row>
    <row r="362" spans="2:9" x14ac:dyDescent="0.3">
      <c r="B362" s="2">
        <v>417900</v>
      </c>
      <c r="C362" s="2">
        <v>408896.50151673512</v>
      </c>
      <c r="D362">
        <f t="shared" si="15"/>
        <v>9003.498483264877</v>
      </c>
      <c r="E362">
        <f t="shared" si="16"/>
        <v>81062984.938152939</v>
      </c>
      <c r="F362" s="21"/>
      <c r="G362" s="1"/>
      <c r="I362" s="21">
        <f t="shared" si="17"/>
        <v>9003.498483264877</v>
      </c>
    </row>
    <row r="363" spans="2:9" x14ac:dyDescent="0.3">
      <c r="B363" s="2">
        <v>436800</v>
      </c>
      <c r="C363" s="2">
        <v>375336.21651673497</v>
      </c>
      <c r="D363">
        <f t="shared" si="15"/>
        <v>61463.783483265026</v>
      </c>
      <c r="E363">
        <f t="shared" si="16"/>
        <v>3777796680.0776825</v>
      </c>
      <c r="F363" s="21"/>
      <c r="G363" s="1"/>
      <c r="I363" s="21">
        <f t="shared" si="17"/>
        <v>61463.783483265026</v>
      </c>
    </row>
    <row r="364" spans="2:9" x14ac:dyDescent="0.3">
      <c r="B364" s="2">
        <v>352800</v>
      </c>
      <c r="C364" s="2">
        <v>365233.33151673508</v>
      </c>
      <c r="D364">
        <f t="shared" si="15"/>
        <v>-12433.331516735081</v>
      </c>
      <c r="E364">
        <f t="shared" si="16"/>
        <v>154587732.60503787</v>
      </c>
      <c r="F364" s="21"/>
      <c r="G364" s="1"/>
      <c r="I364" s="21">
        <f t="shared" si="17"/>
        <v>12433.331516735081</v>
      </c>
    </row>
    <row r="365" spans="2:9" x14ac:dyDescent="0.3">
      <c r="B365" s="2">
        <v>577500</v>
      </c>
      <c r="C365" s="2">
        <v>252739.08151673508</v>
      </c>
      <c r="D365">
        <f t="shared" si="15"/>
        <v>324760.91848326492</v>
      </c>
      <c r="E365">
        <f t="shared" si="16"/>
        <v>105469654174.09384</v>
      </c>
      <c r="F365" s="21"/>
      <c r="G365" s="1"/>
      <c r="I365" s="21">
        <f t="shared" si="17"/>
        <v>324760.91848326492</v>
      </c>
    </row>
    <row r="366" spans="2:9" x14ac:dyDescent="0.3">
      <c r="B366" s="2">
        <v>459900</v>
      </c>
      <c r="C366" s="2">
        <v>299462.09151673509</v>
      </c>
      <c r="D366">
        <f t="shared" si="15"/>
        <v>160437.90848326491</v>
      </c>
      <c r="E366">
        <f t="shared" si="16"/>
        <v>25740322478.484486</v>
      </c>
      <c r="F366" s="21"/>
      <c r="G366" s="1"/>
      <c r="I366" s="21">
        <f t="shared" si="17"/>
        <v>160437.90848326491</v>
      </c>
    </row>
    <row r="367" spans="2:9" x14ac:dyDescent="0.3">
      <c r="B367" s="2">
        <v>485100</v>
      </c>
      <c r="C367" s="2">
        <v>211509.42151673493</v>
      </c>
      <c r="D367">
        <f t="shared" si="15"/>
        <v>273590.57848326507</v>
      </c>
      <c r="E367">
        <f t="shared" si="16"/>
        <v>74851804634.807617</v>
      </c>
      <c r="F367" s="21"/>
      <c r="G367" s="1"/>
      <c r="I367" s="21">
        <f t="shared" si="17"/>
        <v>273590.57848326507</v>
      </c>
    </row>
    <row r="368" spans="2:9" x14ac:dyDescent="0.3">
      <c r="B368" s="2">
        <v>289800</v>
      </c>
      <c r="C368" s="2">
        <v>69194.156516734976</v>
      </c>
      <c r="D368">
        <f t="shared" si="15"/>
        <v>220605.84348326502</v>
      </c>
      <c r="E368">
        <f t="shared" si="16"/>
        <v>48666938178.962822</v>
      </c>
      <c r="F368" s="21"/>
      <c r="G368" s="1"/>
      <c r="I368" s="21">
        <f t="shared" si="17"/>
        <v>220605.84348326502</v>
      </c>
    </row>
    <row r="369" spans="2:9" x14ac:dyDescent="0.3">
      <c r="B369" s="2">
        <v>289800</v>
      </c>
      <c r="C369" s="2">
        <v>-32004.563483264996</v>
      </c>
      <c r="D369">
        <f t="shared" si="15"/>
        <v>321804.563483265</v>
      </c>
      <c r="E369">
        <f t="shared" si="16"/>
        <v>103558177078.65472</v>
      </c>
      <c r="F369" s="21"/>
      <c r="G369" s="1"/>
      <c r="I369" s="21">
        <f t="shared" si="17"/>
        <v>321804.563483265</v>
      </c>
    </row>
    <row r="370" spans="2:9" x14ac:dyDescent="0.3">
      <c r="B370" s="2">
        <v>315000</v>
      </c>
      <c r="C370" s="2">
        <v>508965.28151673492</v>
      </c>
      <c r="D370">
        <f t="shared" si="15"/>
        <v>-193965.28151673492</v>
      </c>
      <c r="E370">
        <f t="shared" si="16"/>
        <v>37622530433.866226</v>
      </c>
      <c r="F370" s="21"/>
      <c r="G370" s="1"/>
      <c r="I370" s="21">
        <f t="shared" si="17"/>
        <v>193965.28151673492</v>
      </c>
    </row>
    <row r="371" spans="2:9" x14ac:dyDescent="0.3">
      <c r="B371" s="2">
        <v>291900</v>
      </c>
      <c r="C371" s="2">
        <v>345165.92151673505</v>
      </c>
      <c r="D371">
        <f t="shared" si="15"/>
        <v>-53265.921516735048</v>
      </c>
      <c r="E371">
        <f t="shared" si="16"/>
        <v>2837258395.026978</v>
      </c>
      <c r="F371" s="21"/>
      <c r="G371" s="1"/>
      <c r="I371" s="21">
        <f t="shared" si="17"/>
        <v>53265.921516735048</v>
      </c>
    </row>
    <row r="372" spans="2:9" x14ac:dyDescent="0.3">
      <c r="B372" s="2">
        <v>279300</v>
      </c>
      <c r="C372" s="2">
        <v>379415.8465167351</v>
      </c>
      <c r="D372">
        <f t="shared" si="15"/>
        <v>-100115.8465167351</v>
      </c>
      <c r="E372">
        <f t="shared" si="16"/>
        <v>10023182723.762459</v>
      </c>
      <c r="F372" s="21"/>
      <c r="G372" s="1"/>
      <c r="I372" s="21">
        <f t="shared" si="17"/>
        <v>100115.8465167351</v>
      </c>
    </row>
    <row r="373" spans="2:9" x14ac:dyDescent="0.3">
      <c r="B373" s="2">
        <v>275100</v>
      </c>
      <c r="C373" s="2">
        <v>316997.8865167349</v>
      </c>
      <c r="D373">
        <f t="shared" si="15"/>
        <v>-41897.886516734899</v>
      </c>
      <c r="E373">
        <f t="shared" si="16"/>
        <v>1755432894.569196</v>
      </c>
      <c r="F373" s="21"/>
      <c r="G373" s="1"/>
      <c r="I373" s="21">
        <f t="shared" si="17"/>
        <v>41897.886516734899</v>
      </c>
    </row>
    <row r="374" spans="2:9" x14ac:dyDescent="0.3">
      <c r="B374" s="2">
        <v>214200</v>
      </c>
      <c r="C374" s="2">
        <v>324128.77151673514</v>
      </c>
      <c r="D374">
        <f t="shared" si="15"/>
        <v>-109928.77151673514</v>
      </c>
      <c r="E374">
        <f t="shared" si="16"/>
        <v>12084334807.17856</v>
      </c>
      <c r="F374" s="21"/>
      <c r="G374" s="1"/>
      <c r="I374" s="21">
        <f t="shared" si="17"/>
        <v>109928.77151673514</v>
      </c>
    </row>
    <row r="375" spans="2:9" x14ac:dyDescent="0.3">
      <c r="B375" s="2">
        <v>218400</v>
      </c>
      <c r="C375" s="2">
        <v>438199.62651673512</v>
      </c>
      <c r="D375">
        <f t="shared" si="15"/>
        <v>-219799.62651673512</v>
      </c>
      <c r="E375">
        <f t="shared" si="16"/>
        <v>48311875816.896248</v>
      </c>
      <c r="F375" s="21"/>
      <c r="G375" s="1"/>
      <c r="I375" s="21">
        <f t="shared" si="17"/>
        <v>219799.62651673512</v>
      </c>
    </row>
    <row r="376" spans="2:9" x14ac:dyDescent="0.3">
      <c r="B376" s="2">
        <v>228900</v>
      </c>
      <c r="C376" s="2">
        <v>359597.00151673512</v>
      </c>
      <c r="D376">
        <f t="shared" si="15"/>
        <v>-130697.00151673512</v>
      </c>
      <c r="E376">
        <f t="shared" si="16"/>
        <v>17081706205.465464</v>
      </c>
      <c r="F376" s="21"/>
      <c r="G376" s="1"/>
      <c r="I376" s="21">
        <f t="shared" si="17"/>
        <v>130697.00151673512</v>
      </c>
    </row>
    <row r="377" spans="2:9" x14ac:dyDescent="0.3">
      <c r="B377" s="2">
        <v>237300</v>
      </c>
      <c r="C377" s="2">
        <v>244913.43651673506</v>
      </c>
      <c r="D377">
        <f t="shared" si="15"/>
        <v>-7613.4365167350625</v>
      </c>
      <c r="E377">
        <f t="shared" si="16"/>
        <v>57964415.59435492</v>
      </c>
      <c r="F377" s="21"/>
      <c r="G377" s="1"/>
      <c r="I377" s="21">
        <f t="shared" si="17"/>
        <v>7613.4365167350625</v>
      </c>
    </row>
    <row r="378" spans="2:9" x14ac:dyDescent="0.3">
      <c r="B378" s="2">
        <v>258300</v>
      </c>
      <c r="C378" s="2">
        <v>233113.3565167351</v>
      </c>
      <c r="D378">
        <f t="shared" si="15"/>
        <v>25186.643483264896</v>
      </c>
      <c r="E378">
        <f t="shared" si="16"/>
        <v>634367009.95309007</v>
      </c>
      <c r="F378" s="21"/>
      <c r="G378" s="1"/>
      <c r="I378" s="21">
        <f t="shared" si="17"/>
        <v>25186.643483264896</v>
      </c>
    </row>
    <row r="379" spans="2:9" x14ac:dyDescent="0.3">
      <c r="B379" s="2">
        <v>184800</v>
      </c>
      <c r="C379" s="2">
        <v>67537.046516735165</v>
      </c>
      <c r="D379">
        <f t="shared" si="15"/>
        <v>117262.95348326484</v>
      </c>
      <c r="E379">
        <f t="shared" si="16"/>
        <v>13750600259.618332</v>
      </c>
      <c r="F379" s="21"/>
      <c r="G379" s="1"/>
      <c r="I379" s="21">
        <f t="shared" si="17"/>
        <v>117262.95348326484</v>
      </c>
    </row>
    <row r="380" spans="2:9" x14ac:dyDescent="0.3">
      <c r="B380" s="2">
        <v>151200</v>
      </c>
      <c r="C380" s="2">
        <v>144271.81151673518</v>
      </c>
      <c r="D380">
        <f t="shared" si="15"/>
        <v>6928.1884832648211</v>
      </c>
      <c r="E380">
        <f t="shared" si="16"/>
        <v>47999795.6596433</v>
      </c>
      <c r="F380" s="21"/>
      <c r="G380" s="1"/>
      <c r="I380" s="21">
        <f t="shared" si="17"/>
        <v>6928.1884832648211</v>
      </c>
    </row>
    <row r="381" spans="2:9" x14ac:dyDescent="0.3">
      <c r="B381" s="2">
        <v>220500</v>
      </c>
      <c r="C381" s="2">
        <v>117616.65651673509</v>
      </c>
      <c r="D381">
        <f t="shared" si="15"/>
        <v>102883.34348326491</v>
      </c>
      <c r="E381">
        <f t="shared" si="16"/>
        <v>10584982366.295467</v>
      </c>
      <c r="F381" s="21"/>
      <c r="G381" s="1"/>
      <c r="I381" s="21">
        <f t="shared" si="17"/>
        <v>102883.34348326491</v>
      </c>
    </row>
    <row r="382" spans="2:9" x14ac:dyDescent="0.3">
      <c r="B382" s="2">
        <v>155400</v>
      </c>
      <c r="C382" s="2">
        <v>107491.48651673499</v>
      </c>
      <c r="D382">
        <f t="shared" si="15"/>
        <v>47908.513483265007</v>
      </c>
      <c r="E382">
        <f t="shared" si="16"/>
        <v>2295225664.1761851</v>
      </c>
      <c r="F382" s="21"/>
      <c r="G382" s="1"/>
      <c r="I382" s="21">
        <f t="shared" si="17"/>
        <v>47908.513483265007</v>
      </c>
    </row>
    <row r="383" spans="2:9" x14ac:dyDescent="0.3">
      <c r="B383" s="2">
        <v>214200</v>
      </c>
      <c r="C383" s="2">
        <v>111966.81651673507</v>
      </c>
      <c r="D383">
        <f t="shared" si="15"/>
        <v>102233.18348326493</v>
      </c>
      <c r="E383">
        <f t="shared" si="16"/>
        <v>10451623805.122913</v>
      </c>
      <c r="F383" s="21"/>
      <c r="G383" s="1"/>
      <c r="I383" s="21">
        <f t="shared" si="17"/>
        <v>102233.18348326493</v>
      </c>
    </row>
    <row r="384" spans="2:9" x14ac:dyDescent="0.3">
      <c r="B384" s="2">
        <v>241500</v>
      </c>
      <c r="C384" s="2">
        <v>262109.69651673507</v>
      </c>
      <c r="D384">
        <f t="shared" si="15"/>
        <v>-20609.696516735072</v>
      </c>
      <c r="E384">
        <f t="shared" si="16"/>
        <v>424759590.51192176</v>
      </c>
      <c r="F384" s="21"/>
      <c r="G384" s="1"/>
      <c r="I384" s="21">
        <f t="shared" si="17"/>
        <v>20609.696516735072</v>
      </c>
    </row>
    <row r="385" spans="2:9" x14ac:dyDescent="0.3">
      <c r="B385" s="2">
        <v>317100</v>
      </c>
      <c r="C385" s="2">
        <v>330645.45151673508</v>
      </c>
      <c r="D385">
        <f t="shared" si="15"/>
        <v>-13545.451516735076</v>
      </c>
      <c r="E385">
        <f t="shared" si="16"/>
        <v>183479256.79222059</v>
      </c>
      <c r="F385" s="21"/>
      <c r="G385" s="1"/>
      <c r="I385" s="21">
        <f t="shared" si="17"/>
        <v>13545.451516735076</v>
      </c>
    </row>
    <row r="386" spans="2:9" x14ac:dyDescent="0.3">
      <c r="B386" s="2">
        <v>487200</v>
      </c>
      <c r="C386" s="2">
        <v>342003.57151673507</v>
      </c>
      <c r="D386">
        <f t="shared" si="15"/>
        <v>145196.42848326493</v>
      </c>
      <c r="E386">
        <f t="shared" si="16"/>
        <v>21082002844.295868</v>
      </c>
      <c r="F386" s="21"/>
      <c r="G386" s="1"/>
      <c r="I386" s="21">
        <f t="shared" si="17"/>
        <v>145196.42848326493</v>
      </c>
    </row>
    <row r="387" spans="2:9" x14ac:dyDescent="0.3">
      <c r="B387" s="2">
        <v>203700</v>
      </c>
      <c r="C387" s="2">
        <v>179065.01651673502</v>
      </c>
      <c r="D387">
        <f t="shared" si="15"/>
        <v>24634.983483264979</v>
      </c>
      <c r="E387">
        <f t="shared" si="16"/>
        <v>606882411.22073829</v>
      </c>
      <c r="F387" s="21"/>
      <c r="G387" s="1"/>
      <c r="I387" s="21">
        <f t="shared" si="17"/>
        <v>24634.983483264979</v>
      </c>
    </row>
    <row r="388" spans="2:9" x14ac:dyDescent="0.3">
      <c r="B388" s="2">
        <v>289800</v>
      </c>
      <c r="C388" s="2">
        <v>393243.71151673497</v>
      </c>
      <c r="D388">
        <f t="shared" si="15"/>
        <v>-103443.71151673497</v>
      </c>
      <c r="E388">
        <f t="shared" si="16"/>
        <v>10700601452.357487</v>
      </c>
      <c r="F388" s="21"/>
      <c r="G388" s="1"/>
      <c r="I388" s="21">
        <f t="shared" si="17"/>
        <v>103443.71151673497</v>
      </c>
    </row>
    <row r="389" spans="2:9" x14ac:dyDescent="0.3">
      <c r="B389" s="2">
        <v>266700</v>
      </c>
      <c r="C389" s="2">
        <v>353953.00151673501</v>
      </c>
      <c r="D389">
        <f t="shared" si="15"/>
        <v>-87253.001516735007</v>
      </c>
      <c r="E389">
        <f t="shared" si="16"/>
        <v>7613086273.6793613</v>
      </c>
      <c r="F389" s="21"/>
      <c r="G389" s="1"/>
      <c r="I389" s="21">
        <f t="shared" si="17"/>
        <v>87253.001516735007</v>
      </c>
    </row>
    <row r="390" spans="2:9" x14ac:dyDescent="0.3">
      <c r="B390" s="2">
        <v>275100</v>
      </c>
      <c r="C390" s="2">
        <v>396153.23151673499</v>
      </c>
      <c r="D390">
        <f t="shared" si="15"/>
        <v>-121053.23151673499</v>
      </c>
      <c r="E390">
        <f t="shared" si="16"/>
        <v>14653884860.644241</v>
      </c>
      <c r="F390" s="21"/>
      <c r="G390" s="1"/>
      <c r="I390" s="21">
        <f t="shared" si="17"/>
        <v>121053.23151673499</v>
      </c>
    </row>
    <row r="391" spans="2:9" x14ac:dyDescent="0.3">
      <c r="B391" s="2">
        <v>262500</v>
      </c>
      <c r="C391" s="2">
        <v>366029.69151673518</v>
      </c>
      <c r="D391">
        <f t="shared" si="15"/>
        <v>-103529.69151673518</v>
      </c>
      <c r="E391">
        <f t="shared" si="16"/>
        <v>10718397025.550348</v>
      </c>
      <c r="F391" s="21"/>
      <c r="G391" s="1"/>
      <c r="I391" s="21">
        <f t="shared" si="17"/>
        <v>103529.69151673518</v>
      </c>
    </row>
    <row r="392" spans="2:9" x14ac:dyDescent="0.3">
      <c r="B392" s="2">
        <v>178500</v>
      </c>
      <c r="C392" s="2">
        <v>303102.9715167351</v>
      </c>
      <c r="D392">
        <f t="shared" si="15"/>
        <v>-124602.9715167351</v>
      </c>
      <c r="E392">
        <f t="shared" si="16"/>
        <v>15525900510.800297</v>
      </c>
      <c r="F392" s="21"/>
      <c r="G392" s="1"/>
      <c r="I392" s="21">
        <f t="shared" si="17"/>
        <v>124602.9715167351</v>
      </c>
    </row>
    <row r="393" spans="2:9" x14ac:dyDescent="0.3">
      <c r="B393" s="2">
        <v>105000</v>
      </c>
      <c r="C393" s="2">
        <v>161894.03151673515</v>
      </c>
      <c r="D393">
        <f t="shared" si="15"/>
        <v>-56894.031516735151</v>
      </c>
      <c r="E393">
        <f t="shared" si="16"/>
        <v>3236930822.2272525</v>
      </c>
      <c r="F393" s="21"/>
      <c r="G393" s="1"/>
      <c r="I393" s="21">
        <f t="shared" si="17"/>
        <v>56894.031516735151</v>
      </c>
    </row>
    <row r="394" spans="2:9" x14ac:dyDescent="0.3">
      <c r="B394" s="2">
        <v>132300</v>
      </c>
      <c r="C394" s="2">
        <v>203159.8465167351</v>
      </c>
      <c r="D394">
        <f t="shared" si="15"/>
        <v>-70859.846516735095</v>
      </c>
      <c r="E394">
        <f t="shared" si="16"/>
        <v>5021117848.3752546</v>
      </c>
      <c r="F394" s="21"/>
      <c r="G394" s="1"/>
      <c r="I394" s="21">
        <f t="shared" si="17"/>
        <v>70859.846516735095</v>
      </c>
    </row>
    <row r="395" spans="2:9" x14ac:dyDescent="0.3">
      <c r="B395" s="2">
        <v>117600</v>
      </c>
      <c r="C395" s="2">
        <v>249562.92151673505</v>
      </c>
      <c r="D395">
        <f t="shared" si="15"/>
        <v>-131962.92151673505</v>
      </c>
      <c r="E395">
        <f t="shared" si="16"/>
        <v>17414212655.231976</v>
      </c>
      <c r="F395" s="21"/>
      <c r="G395" s="1"/>
      <c r="I395" s="21">
        <f t="shared" si="17"/>
        <v>131962.92151673505</v>
      </c>
    </row>
    <row r="396" spans="2:9" x14ac:dyDescent="0.3">
      <c r="B396" s="2">
        <v>151200</v>
      </c>
      <c r="C396" s="2">
        <v>350356.11151673523</v>
      </c>
      <c r="D396">
        <f t="shared" si="15"/>
        <v>-199156.11151673523</v>
      </c>
      <c r="E396">
        <f t="shared" si="16"/>
        <v>39663156754.466278</v>
      </c>
      <c r="F396" s="21"/>
      <c r="G396" s="1"/>
      <c r="I396" s="21">
        <f t="shared" si="17"/>
        <v>199156.11151673523</v>
      </c>
    </row>
    <row r="397" spans="2:9" x14ac:dyDescent="0.3">
      <c r="B397" s="2">
        <v>254100</v>
      </c>
      <c r="C397" s="2">
        <v>355745.06651673507</v>
      </c>
      <c r="D397">
        <f t="shared" ref="D397:D460" si="18">B397-C397</f>
        <v>-101645.06651673507</v>
      </c>
      <c r="E397">
        <f t="shared" ref="E397:E460" si="19">(D397)^2</f>
        <v>10331719547.191496</v>
      </c>
      <c r="F397" s="21"/>
      <c r="G397" s="1"/>
      <c r="I397" s="21">
        <f t="shared" ref="I397:I460" si="20">ABS(D397)</f>
        <v>101645.06651673507</v>
      </c>
    </row>
    <row r="398" spans="2:9" x14ac:dyDescent="0.3">
      <c r="B398" s="2">
        <v>174300</v>
      </c>
      <c r="C398" s="2">
        <v>270277.45151673508</v>
      </c>
      <c r="D398">
        <f t="shared" si="18"/>
        <v>-95977.451516735076</v>
      </c>
      <c r="E398">
        <f t="shared" si="19"/>
        <v>9211671199.6472321</v>
      </c>
      <c r="F398" s="21"/>
      <c r="G398" s="1"/>
      <c r="I398" s="21">
        <f t="shared" si="20"/>
        <v>95977.451516735076</v>
      </c>
    </row>
    <row r="399" spans="2:9" x14ac:dyDescent="0.3">
      <c r="B399" s="2">
        <v>178500</v>
      </c>
      <c r="C399" s="2">
        <v>203471.39151673502</v>
      </c>
      <c r="D399">
        <f t="shared" si="18"/>
        <v>-24971.391516735021</v>
      </c>
      <c r="E399">
        <f t="shared" si="19"/>
        <v>623570394.28206575</v>
      </c>
      <c r="F399" s="21"/>
      <c r="G399" s="1"/>
      <c r="I399" s="21">
        <f t="shared" si="20"/>
        <v>24971.391516735021</v>
      </c>
    </row>
    <row r="400" spans="2:9" x14ac:dyDescent="0.3">
      <c r="B400" s="2">
        <v>105000</v>
      </c>
      <c r="C400" s="2">
        <v>264364.871516735</v>
      </c>
      <c r="D400">
        <f t="shared" si="18"/>
        <v>-159364.871516735</v>
      </c>
      <c r="E400">
        <f t="shared" si="19"/>
        <v>25397162273.545456</v>
      </c>
      <c r="F400" s="21"/>
      <c r="G400" s="1"/>
      <c r="I400" s="21">
        <f t="shared" si="20"/>
        <v>159364.871516735</v>
      </c>
    </row>
    <row r="401" spans="2:9" x14ac:dyDescent="0.3">
      <c r="B401" s="2">
        <v>249900</v>
      </c>
      <c r="C401" s="2">
        <v>126716.30651673494</v>
      </c>
      <c r="D401">
        <f t="shared" si="18"/>
        <v>123183.69348326506</v>
      </c>
      <c r="E401">
        <f t="shared" si="19"/>
        <v>15174222340.178999</v>
      </c>
      <c r="F401" s="21"/>
      <c r="G401" s="1"/>
      <c r="I401" s="21">
        <f t="shared" si="20"/>
        <v>123183.69348326506</v>
      </c>
    </row>
    <row r="402" spans="2:9" x14ac:dyDescent="0.3">
      <c r="B402" s="2">
        <v>585900</v>
      </c>
      <c r="C402" s="2">
        <v>375584.14651673503</v>
      </c>
      <c r="D402">
        <f t="shared" si="18"/>
        <v>210315.85348326497</v>
      </c>
      <c r="E402">
        <f t="shared" si="19"/>
        <v>44232758226.39418</v>
      </c>
      <c r="F402" s="21"/>
      <c r="G402" s="1"/>
      <c r="I402" s="21">
        <f t="shared" si="20"/>
        <v>210315.85348326497</v>
      </c>
    </row>
    <row r="403" spans="2:9" x14ac:dyDescent="0.3">
      <c r="B403" s="2">
        <v>361200</v>
      </c>
      <c r="C403" s="2">
        <v>221548.00151673501</v>
      </c>
      <c r="D403">
        <f t="shared" si="18"/>
        <v>139651.99848326499</v>
      </c>
      <c r="E403">
        <f t="shared" si="19"/>
        <v>19502680680.369846</v>
      </c>
      <c r="F403" s="21"/>
      <c r="G403" s="1"/>
      <c r="I403" s="21">
        <f t="shared" si="20"/>
        <v>139651.99848326499</v>
      </c>
    </row>
    <row r="404" spans="2:9" x14ac:dyDescent="0.3">
      <c r="B404" s="2">
        <v>577500</v>
      </c>
      <c r="C404" s="2">
        <v>400276.15651673515</v>
      </c>
      <c r="D404">
        <f t="shared" si="18"/>
        <v>177223.84348326485</v>
      </c>
      <c r="E404">
        <f t="shared" si="19"/>
        <v>31408290698.980755</v>
      </c>
      <c r="F404" s="21"/>
      <c r="G404" s="1"/>
      <c r="I404" s="21">
        <f t="shared" si="20"/>
        <v>177223.84348326485</v>
      </c>
    </row>
    <row r="405" spans="2:9" x14ac:dyDescent="0.3">
      <c r="B405" s="2">
        <v>315000</v>
      </c>
      <c r="C405" s="2">
        <v>410397.31151673506</v>
      </c>
      <c r="D405">
        <f t="shared" si="18"/>
        <v>-95397.311516735062</v>
      </c>
      <c r="E405">
        <f t="shared" si="19"/>
        <v>9100647044.6209927</v>
      </c>
      <c r="F405" s="21"/>
      <c r="G405" s="1"/>
      <c r="I405" s="21">
        <f t="shared" si="20"/>
        <v>95397.311516735062</v>
      </c>
    </row>
    <row r="406" spans="2:9" x14ac:dyDescent="0.3">
      <c r="B406" s="2">
        <v>361200</v>
      </c>
      <c r="C406" s="2">
        <v>367773.42151673505</v>
      </c>
      <c r="D406">
        <f t="shared" si="18"/>
        <v>-6573.4215167350485</v>
      </c>
      <c r="E406">
        <f t="shared" si="19"/>
        <v>43209870.436675303</v>
      </c>
      <c r="F406" s="21"/>
      <c r="G406" s="1"/>
      <c r="I406" s="21">
        <f t="shared" si="20"/>
        <v>6573.4215167350485</v>
      </c>
    </row>
    <row r="407" spans="2:9" x14ac:dyDescent="0.3">
      <c r="B407" s="2">
        <v>375900</v>
      </c>
      <c r="C407" s="2">
        <v>49468.686516735121</v>
      </c>
      <c r="D407">
        <f t="shared" si="18"/>
        <v>326431.31348326488</v>
      </c>
      <c r="E407">
        <f t="shared" si="19"/>
        <v>106557402422.40955</v>
      </c>
      <c r="F407" s="21"/>
      <c r="G407" s="1"/>
      <c r="I407" s="21">
        <f t="shared" si="20"/>
        <v>326431.31348326488</v>
      </c>
    </row>
    <row r="408" spans="2:9" x14ac:dyDescent="0.3">
      <c r="B408" s="2">
        <v>342300</v>
      </c>
      <c r="C408" s="2">
        <v>250120.65151673503</v>
      </c>
      <c r="D408">
        <f t="shared" si="18"/>
        <v>92179.34848326497</v>
      </c>
      <c r="E408">
        <f t="shared" si="19"/>
        <v>8497032286.7992039</v>
      </c>
      <c r="F408" s="21"/>
      <c r="G408" s="1"/>
      <c r="I408" s="21">
        <f t="shared" si="20"/>
        <v>92179.34848326497</v>
      </c>
    </row>
    <row r="409" spans="2:9" x14ac:dyDescent="0.3">
      <c r="B409" s="2">
        <v>147000</v>
      </c>
      <c r="C409" s="2">
        <v>11717.211516735144</v>
      </c>
      <c r="D409">
        <f t="shared" si="18"/>
        <v>135282.78848326486</v>
      </c>
      <c r="E409">
        <f t="shared" si="19"/>
        <v>18301432859.807777</v>
      </c>
      <c r="F409" s="21"/>
      <c r="G409" s="1"/>
      <c r="I409" s="21">
        <f t="shared" si="20"/>
        <v>135282.78848326486</v>
      </c>
    </row>
    <row r="410" spans="2:9" x14ac:dyDescent="0.3">
      <c r="B410" s="2">
        <v>151200</v>
      </c>
      <c r="C410" s="2">
        <v>263521.75651673501</v>
      </c>
      <c r="D410">
        <f t="shared" si="18"/>
        <v>-112321.75651673501</v>
      </c>
      <c r="E410">
        <f t="shared" si="19"/>
        <v>12616176987.004704</v>
      </c>
      <c r="F410" s="21"/>
      <c r="G410" s="1"/>
      <c r="I410" s="21">
        <f t="shared" si="20"/>
        <v>112321.75651673501</v>
      </c>
    </row>
    <row r="411" spans="2:9" x14ac:dyDescent="0.3">
      <c r="B411" s="2">
        <v>157500</v>
      </c>
      <c r="C411" s="2">
        <v>329014.11651673511</v>
      </c>
      <c r="D411">
        <f t="shared" si="18"/>
        <v>-171514.11651673511</v>
      </c>
      <c r="E411">
        <f t="shared" si="19"/>
        <v>29417092164.51619</v>
      </c>
      <c r="F411" s="21"/>
      <c r="G411" s="1"/>
      <c r="I411" s="21">
        <f t="shared" si="20"/>
        <v>171514.11651673511</v>
      </c>
    </row>
    <row r="412" spans="2:9" x14ac:dyDescent="0.3">
      <c r="B412" s="2">
        <v>218400</v>
      </c>
      <c r="C412" s="2">
        <v>191849.39651673503</v>
      </c>
      <c r="D412">
        <f t="shared" si="18"/>
        <v>26550.603483264975</v>
      </c>
      <c r="E412">
        <f t="shared" si="19"/>
        <v>704934545.32556224</v>
      </c>
      <c r="F412" s="21"/>
      <c r="G412" s="1"/>
      <c r="I412" s="21">
        <f t="shared" si="20"/>
        <v>26550.603483264975</v>
      </c>
    </row>
    <row r="413" spans="2:9" x14ac:dyDescent="0.3">
      <c r="B413" s="2">
        <v>184800</v>
      </c>
      <c r="C413" s="2">
        <v>313687.32151673507</v>
      </c>
      <c r="D413">
        <f t="shared" si="18"/>
        <v>-128887.32151673507</v>
      </c>
      <c r="E413">
        <f t="shared" si="19"/>
        <v>16611941647.75824</v>
      </c>
      <c r="F413" s="21"/>
      <c r="G413" s="1"/>
      <c r="I413" s="21">
        <f t="shared" si="20"/>
        <v>128887.32151673507</v>
      </c>
    </row>
    <row r="414" spans="2:9" x14ac:dyDescent="0.3">
      <c r="B414" s="2">
        <v>176400</v>
      </c>
      <c r="C414" s="2">
        <v>365739.29651673505</v>
      </c>
      <c r="D414">
        <f t="shared" si="18"/>
        <v>-189339.29651673505</v>
      </c>
      <c r="E414">
        <f t="shared" si="19"/>
        <v>35849369205.452118</v>
      </c>
      <c r="F414" s="21"/>
      <c r="G414" s="1"/>
      <c r="I414" s="21">
        <f t="shared" si="20"/>
        <v>189339.29651673505</v>
      </c>
    </row>
    <row r="415" spans="2:9" x14ac:dyDescent="0.3">
      <c r="B415" s="2">
        <v>350700</v>
      </c>
      <c r="C415" s="2">
        <v>413742.2315167351</v>
      </c>
      <c r="D415">
        <f t="shared" si="18"/>
        <v>-63042.231516735104</v>
      </c>
      <c r="E415">
        <f t="shared" si="19"/>
        <v>3974322954.6096287</v>
      </c>
      <c r="F415" s="21"/>
      <c r="G415" s="1"/>
      <c r="I415" s="21">
        <f t="shared" si="20"/>
        <v>63042.231516735104</v>
      </c>
    </row>
    <row r="416" spans="2:9" x14ac:dyDescent="0.3">
      <c r="B416" s="2">
        <v>298200</v>
      </c>
      <c r="C416" s="2">
        <v>371306.08651673509</v>
      </c>
      <c r="D416">
        <f t="shared" si="18"/>
        <v>-73106.086516735086</v>
      </c>
      <c r="E416">
        <f t="shared" si="19"/>
        <v>5344499885.7923555</v>
      </c>
      <c r="F416" s="21"/>
      <c r="G416" s="1"/>
      <c r="I416" s="21">
        <f t="shared" si="20"/>
        <v>73106.086516735086</v>
      </c>
    </row>
    <row r="417" spans="2:9" x14ac:dyDescent="0.3">
      <c r="B417" s="2">
        <v>436800</v>
      </c>
      <c r="C417" s="2">
        <v>357674.21651673509</v>
      </c>
      <c r="D417">
        <f t="shared" si="18"/>
        <v>79125.78348326491</v>
      </c>
      <c r="E417">
        <f t="shared" si="19"/>
        <v>6260889611.840518</v>
      </c>
      <c r="F417" s="21"/>
      <c r="G417" s="1"/>
      <c r="I417" s="21">
        <f t="shared" si="20"/>
        <v>79125.78348326491</v>
      </c>
    </row>
    <row r="418" spans="2:9" x14ac:dyDescent="0.3">
      <c r="B418" s="2">
        <v>281400</v>
      </c>
      <c r="C418" s="2">
        <v>297358.9815167351</v>
      </c>
      <c r="D418">
        <f t="shared" si="18"/>
        <v>-15958.981516735104</v>
      </c>
      <c r="E418">
        <f t="shared" si="19"/>
        <v>254689091.05149269</v>
      </c>
      <c r="F418" s="21"/>
      <c r="G418" s="1"/>
      <c r="I418" s="21">
        <f t="shared" si="20"/>
        <v>15958.981516735104</v>
      </c>
    </row>
    <row r="419" spans="2:9" x14ac:dyDescent="0.3">
      <c r="B419" s="2">
        <v>245700</v>
      </c>
      <c r="C419" s="2">
        <v>317291.38151673513</v>
      </c>
      <c r="D419">
        <f t="shared" si="18"/>
        <v>-71591.381516735128</v>
      </c>
      <c r="E419">
        <f t="shared" si="19"/>
        <v>5125325907.4747238</v>
      </c>
      <c r="F419" s="21"/>
      <c r="G419" s="1"/>
      <c r="I419" s="21">
        <f t="shared" si="20"/>
        <v>71591.381516735128</v>
      </c>
    </row>
    <row r="420" spans="2:9" x14ac:dyDescent="0.3">
      <c r="B420" s="2">
        <v>174300</v>
      </c>
      <c r="C420" s="2">
        <v>267506.12651673501</v>
      </c>
      <c r="D420">
        <f t="shared" si="18"/>
        <v>-93206.126516735007</v>
      </c>
      <c r="E420">
        <f t="shared" si="19"/>
        <v>8687382020.2536125</v>
      </c>
      <c r="F420" s="21"/>
      <c r="G420" s="1"/>
      <c r="I420" s="21">
        <f t="shared" si="20"/>
        <v>93206.126516735007</v>
      </c>
    </row>
    <row r="421" spans="2:9" x14ac:dyDescent="0.3">
      <c r="B421" s="2">
        <v>214200</v>
      </c>
      <c r="C421" s="2">
        <v>356785.09151673497</v>
      </c>
      <c r="D421">
        <f t="shared" si="18"/>
        <v>-142585.09151673497</v>
      </c>
      <c r="E421">
        <f t="shared" si="19"/>
        <v>20330508322.83569</v>
      </c>
      <c r="F421" s="21"/>
      <c r="G421" s="1"/>
      <c r="I421" s="21">
        <f t="shared" si="20"/>
        <v>142585.09151673497</v>
      </c>
    </row>
    <row r="422" spans="2:9" x14ac:dyDescent="0.3">
      <c r="B422" s="2">
        <v>228900</v>
      </c>
      <c r="C422" s="2">
        <v>401074.64651673514</v>
      </c>
      <c r="D422">
        <f t="shared" si="18"/>
        <v>-172174.64651673514</v>
      </c>
      <c r="E422">
        <f t="shared" si="19"/>
        <v>29644108903.162697</v>
      </c>
      <c r="F422" s="21"/>
      <c r="G422" s="1"/>
      <c r="I422" s="21">
        <f t="shared" si="20"/>
        <v>172174.64651673514</v>
      </c>
    </row>
    <row r="423" spans="2:9" x14ac:dyDescent="0.3">
      <c r="B423" s="2">
        <v>231000</v>
      </c>
      <c r="C423" s="2">
        <v>324352.56151673495</v>
      </c>
      <c r="D423">
        <f t="shared" si="18"/>
        <v>-93352.561516734946</v>
      </c>
      <c r="E423">
        <f t="shared" si="19"/>
        <v>8714700741.7357826</v>
      </c>
      <c r="F423" s="21"/>
      <c r="G423" s="1"/>
      <c r="I423" s="21">
        <f t="shared" si="20"/>
        <v>93352.561516734946</v>
      </c>
    </row>
    <row r="424" spans="2:9" x14ac:dyDescent="0.3">
      <c r="B424" s="2">
        <v>199500</v>
      </c>
      <c r="C424" s="2">
        <v>312766.77651673503</v>
      </c>
      <c r="D424">
        <f t="shared" si="18"/>
        <v>-113266.77651673503</v>
      </c>
      <c r="E424">
        <f t="shared" si="19"/>
        <v>12829362662.491999</v>
      </c>
      <c r="F424" s="21"/>
      <c r="G424" s="1"/>
      <c r="I424" s="21">
        <f t="shared" si="20"/>
        <v>113266.77651673503</v>
      </c>
    </row>
    <row r="425" spans="2:9" x14ac:dyDescent="0.3">
      <c r="B425" s="2">
        <v>304500</v>
      </c>
      <c r="C425" s="2">
        <v>379864.25651673513</v>
      </c>
      <c r="D425">
        <f t="shared" si="18"/>
        <v>-75364.256516735128</v>
      </c>
      <c r="E425">
        <f t="shared" si="19"/>
        <v>5679771160.3202534</v>
      </c>
      <c r="F425" s="21"/>
      <c r="G425" s="1"/>
      <c r="I425" s="21">
        <f t="shared" si="20"/>
        <v>75364.256516735128</v>
      </c>
    </row>
    <row r="426" spans="2:9" x14ac:dyDescent="0.3">
      <c r="B426" s="2">
        <v>296100</v>
      </c>
      <c r="C426" s="2">
        <v>399607.83151673496</v>
      </c>
      <c r="D426">
        <f t="shared" si="18"/>
        <v>-103507.83151673496</v>
      </c>
      <c r="E426">
        <f t="shared" si="19"/>
        <v>10713871185.296793</v>
      </c>
      <c r="F426" s="21"/>
      <c r="G426" s="1"/>
      <c r="I426" s="21">
        <f t="shared" si="20"/>
        <v>103507.83151673496</v>
      </c>
    </row>
    <row r="427" spans="2:9" x14ac:dyDescent="0.3">
      <c r="B427" s="2">
        <v>338100</v>
      </c>
      <c r="C427" s="2">
        <v>447392.65151673503</v>
      </c>
      <c r="D427">
        <f t="shared" si="18"/>
        <v>-109292.65151673503</v>
      </c>
      <c r="E427">
        <f t="shared" si="19"/>
        <v>11944883675.558483</v>
      </c>
      <c r="F427" s="21"/>
      <c r="G427" s="1"/>
      <c r="I427" s="21">
        <f t="shared" si="20"/>
        <v>109292.65151673503</v>
      </c>
    </row>
    <row r="428" spans="2:9" x14ac:dyDescent="0.3">
      <c r="B428" s="2">
        <v>300300</v>
      </c>
      <c r="C428" s="2">
        <v>402887.55651673506</v>
      </c>
      <c r="D428">
        <f t="shared" si="18"/>
        <v>-102587.55651673506</v>
      </c>
      <c r="E428">
        <f t="shared" si="19"/>
        <v>10524206752.07431</v>
      </c>
      <c r="F428" s="21"/>
      <c r="G428" s="1"/>
      <c r="I428" s="21">
        <f t="shared" si="20"/>
        <v>102587.55651673506</v>
      </c>
    </row>
    <row r="429" spans="2:9" x14ac:dyDescent="0.3">
      <c r="B429" s="2">
        <v>245700</v>
      </c>
      <c r="C429" s="2">
        <v>394542.18651673506</v>
      </c>
      <c r="D429">
        <f t="shared" si="18"/>
        <v>-148842.18651673506</v>
      </c>
      <c r="E429">
        <f t="shared" si="19"/>
        <v>22153996487.08255</v>
      </c>
      <c r="F429" s="21"/>
      <c r="G429" s="1"/>
      <c r="I429" s="21">
        <f t="shared" si="20"/>
        <v>148842.18651673506</v>
      </c>
    </row>
    <row r="430" spans="2:9" x14ac:dyDescent="0.3">
      <c r="B430" s="2">
        <v>281400</v>
      </c>
      <c r="C430" s="2">
        <v>343109.15151673503</v>
      </c>
      <c r="D430">
        <f t="shared" si="18"/>
        <v>-61709.15151673503</v>
      </c>
      <c r="E430">
        <f t="shared" si="19"/>
        <v>3808019380.9153614</v>
      </c>
      <c r="F430" s="21"/>
      <c r="G430" s="1"/>
      <c r="I430" s="21">
        <f t="shared" si="20"/>
        <v>61709.15151673503</v>
      </c>
    </row>
    <row r="431" spans="2:9" x14ac:dyDescent="0.3">
      <c r="B431" s="2">
        <v>201600</v>
      </c>
      <c r="C431" s="2">
        <v>385198.01151673513</v>
      </c>
      <c r="D431">
        <f t="shared" si="18"/>
        <v>-183598.01151673513</v>
      </c>
      <c r="E431">
        <f t="shared" si="19"/>
        <v>33708229832.899208</v>
      </c>
      <c r="F431" s="21"/>
      <c r="G431" s="1"/>
      <c r="I431" s="21">
        <f t="shared" si="20"/>
        <v>183598.01151673513</v>
      </c>
    </row>
    <row r="432" spans="2:9" x14ac:dyDescent="0.3">
      <c r="B432" s="2">
        <v>182700</v>
      </c>
      <c r="C432" s="2">
        <v>267317.82651673508</v>
      </c>
      <c r="D432">
        <f t="shared" si="18"/>
        <v>-84617.826516735076</v>
      </c>
      <c r="E432">
        <f t="shared" si="19"/>
        <v>7160176564.4162741</v>
      </c>
      <c r="F432" s="21"/>
      <c r="G432" s="1"/>
      <c r="I432" s="21">
        <f t="shared" si="20"/>
        <v>84617.826516735076</v>
      </c>
    </row>
    <row r="433" spans="2:9" x14ac:dyDescent="0.3">
      <c r="B433" s="2">
        <v>176400</v>
      </c>
      <c r="C433" s="2">
        <v>166406.29151673493</v>
      </c>
      <c r="D433">
        <f t="shared" si="18"/>
        <v>9993.7084832650726</v>
      </c>
      <c r="E433">
        <f t="shared" si="19"/>
        <v>99874209.248484284</v>
      </c>
      <c r="F433" s="21"/>
      <c r="G433" s="1"/>
      <c r="I433" s="21">
        <f t="shared" si="20"/>
        <v>9993.7084832650726</v>
      </c>
    </row>
    <row r="434" spans="2:9" x14ac:dyDescent="0.3">
      <c r="B434" s="2">
        <v>268800</v>
      </c>
      <c r="C434" s="2">
        <v>260602.13151673513</v>
      </c>
      <c r="D434">
        <f t="shared" si="18"/>
        <v>8197.8684832648723</v>
      </c>
      <c r="E434">
        <f t="shared" si="19"/>
        <v>67205047.668907493</v>
      </c>
      <c r="F434" s="21"/>
      <c r="G434" s="1"/>
      <c r="I434" s="21">
        <f t="shared" si="20"/>
        <v>8197.8684832648723</v>
      </c>
    </row>
    <row r="435" spans="2:9" x14ac:dyDescent="0.3">
      <c r="B435" s="2">
        <v>220500</v>
      </c>
      <c r="C435" s="2">
        <v>285489.77651673503</v>
      </c>
      <c r="D435">
        <f t="shared" si="18"/>
        <v>-64989.77651673503</v>
      </c>
      <c r="E435">
        <f t="shared" si="19"/>
        <v>4223671051.6951637</v>
      </c>
      <c r="F435" s="21"/>
      <c r="G435" s="1"/>
      <c r="I435" s="21">
        <f t="shared" si="20"/>
        <v>64989.77651673503</v>
      </c>
    </row>
    <row r="436" spans="2:9" x14ac:dyDescent="0.3">
      <c r="B436" s="2">
        <v>359100</v>
      </c>
      <c r="C436" s="2">
        <v>364488.90651673515</v>
      </c>
      <c r="D436">
        <f t="shared" si="18"/>
        <v>-5388.9065167351509</v>
      </c>
      <c r="E436">
        <f t="shared" si="19"/>
        <v>29040313.446110576</v>
      </c>
      <c r="F436" s="21"/>
      <c r="G436" s="1"/>
      <c r="I436" s="21">
        <f t="shared" si="20"/>
        <v>5388.9065167351509</v>
      </c>
    </row>
    <row r="437" spans="2:9" x14ac:dyDescent="0.3">
      <c r="B437" s="2">
        <v>386400</v>
      </c>
      <c r="C437" s="2">
        <v>380088.82151673507</v>
      </c>
      <c r="D437">
        <f t="shared" si="18"/>
        <v>6311.1784832649282</v>
      </c>
      <c r="E437">
        <f t="shared" si="19"/>
        <v>39830973.847626202</v>
      </c>
      <c r="F437" s="21"/>
      <c r="G437" s="1"/>
      <c r="I437" s="21">
        <f t="shared" si="20"/>
        <v>6311.1784832649282</v>
      </c>
    </row>
    <row r="438" spans="2:9" x14ac:dyDescent="0.3">
      <c r="B438" s="2">
        <v>323400</v>
      </c>
      <c r="C438" s="2">
        <v>378596.37151673512</v>
      </c>
      <c r="D438">
        <f t="shared" si="18"/>
        <v>-55196.371516735118</v>
      </c>
      <c r="E438">
        <f t="shared" si="19"/>
        <v>3046639428.6134477</v>
      </c>
      <c r="F438" s="21"/>
      <c r="G438" s="1"/>
      <c r="I438" s="21">
        <f t="shared" si="20"/>
        <v>55196.371516735118</v>
      </c>
    </row>
    <row r="439" spans="2:9" x14ac:dyDescent="0.3">
      <c r="B439" s="2">
        <v>226800</v>
      </c>
      <c r="C439" s="2">
        <v>270379.79651673505</v>
      </c>
      <c r="D439">
        <f t="shared" si="18"/>
        <v>-43579.796516735048</v>
      </c>
      <c r="E439">
        <f t="shared" si="19"/>
        <v>1899198664.4400322</v>
      </c>
      <c r="F439" s="21"/>
      <c r="G439" s="1"/>
      <c r="I439" s="21">
        <f t="shared" si="20"/>
        <v>43579.796516735048</v>
      </c>
    </row>
    <row r="440" spans="2:9" x14ac:dyDescent="0.3">
      <c r="B440" s="2">
        <v>247800</v>
      </c>
      <c r="C440" s="2">
        <v>320690.31151673495</v>
      </c>
      <c r="D440">
        <f t="shared" si="18"/>
        <v>-72890.311516734946</v>
      </c>
      <c r="E440">
        <f t="shared" si="19"/>
        <v>5312997513.0066633</v>
      </c>
      <c r="F440" s="21"/>
      <c r="G440" s="1"/>
      <c r="I440" s="21">
        <f t="shared" si="20"/>
        <v>72890.311516734946</v>
      </c>
    </row>
    <row r="441" spans="2:9" x14ac:dyDescent="0.3">
      <c r="B441" s="2">
        <v>312900</v>
      </c>
      <c r="C441" s="2">
        <v>377630.95151673508</v>
      </c>
      <c r="D441">
        <f t="shared" si="18"/>
        <v>-64730.951516735076</v>
      </c>
      <c r="E441">
        <f t="shared" si="19"/>
        <v>4190096084.2619071</v>
      </c>
      <c r="F441" s="21"/>
      <c r="G441" s="1"/>
      <c r="I441" s="21">
        <f t="shared" si="20"/>
        <v>64730.951516735076</v>
      </c>
    </row>
    <row r="442" spans="2:9" x14ac:dyDescent="0.3">
      <c r="B442" s="2">
        <v>264600</v>
      </c>
      <c r="C442" s="2">
        <v>384486.25151673512</v>
      </c>
      <c r="D442">
        <f t="shared" si="18"/>
        <v>-119886.25151673512</v>
      </c>
      <c r="E442">
        <f t="shared" si="19"/>
        <v>14372713302.733875</v>
      </c>
      <c r="F442" s="21"/>
      <c r="G442" s="1"/>
      <c r="I442" s="21">
        <f t="shared" si="20"/>
        <v>119886.25151673512</v>
      </c>
    </row>
    <row r="443" spans="2:9" x14ac:dyDescent="0.3">
      <c r="B443" s="2">
        <v>296100</v>
      </c>
      <c r="C443" s="2">
        <v>360438.15151673515</v>
      </c>
      <c r="D443">
        <f t="shared" si="18"/>
        <v>-64338.151516735146</v>
      </c>
      <c r="E443">
        <f t="shared" si="19"/>
        <v>4139397740.5903692</v>
      </c>
      <c r="F443" s="21"/>
      <c r="G443" s="1"/>
      <c r="I443" s="21">
        <f t="shared" si="20"/>
        <v>64338.151516735146</v>
      </c>
    </row>
    <row r="444" spans="2:9" x14ac:dyDescent="0.3">
      <c r="B444" s="2">
        <v>273000</v>
      </c>
      <c r="C444" s="2">
        <v>367719.41151673504</v>
      </c>
      <c r="D444">
        <f t="shared" si="18"/>
        <v>-94719.411516735039</v>
      </c>
      <c r="E444">
        <f t="shared" si="19"/>
        <v>8971766918.0765991</v>
      </c>
      <c r="F444" s="21"/>
      <c r="G444" s="1"/>
      <c r="I444" s="21">
        <f t="shared" si="20"/>
        <v>94719.411516735039</v>
      </c>
    </row>
    <row r="445" spans="2:9" x14ac:dyDescent="0.3">
      <c r="B445" s="2">
        <v>281400</v>
      </c>
      <c r="C445" s="2">
        <v>416746.621516735</v>
      </c>
      <c r="D445">
        <f t="shared" si="18"/>
        <v>-135346.621516735</v>
      </c>
      <c r="E445">
        <f t="shared" si="19"/>
        <v>18318707955.994316</v>
      </c>
      <c r="F445" s="21"/>
      <c r="G445" s="1"/>
      <c r="I445" s="21">
        <f t="shared" si="20"/>
        <v>135346.621516735</v>
      </c>
    </row>
    <row r="446" spans="2:9" x14ac:dyDescent="0.3">
      <c r="B446" s="2">
        <v>319200</v>
      </c>
      <c r="C446" s="2">
        <v>405463.30151673517</v>
      </c>
      <c r="D446">
        <f t="shared" si="18"/>
        <v>-86263.30151673517</v>
      </c>
      <c r="E446">
        <f t="shared" si="19"/>
        <v>7441357188.5671644</v>
      </c>
      <c r="F446" s="21"/>
      <c r="G446" s="1"/>
      <c r="I446" s="21">
        <f t="shared" si="20"/>
        <v>86263.30151673517</v>
      </c>
    </row>
    <row r="447" spans="2:9" x14ac:dyDescent="0.3">
      <c r="B447" s="2">
        <v>338100</v>
      </c>
      <c r="C447" s="2">
        <v>379463.57151673496</v>
      </c>
      <c r="D447">
        <f t="shared" si="18"/>
        <v>-41363.571516734955</v>
      </c>
      <c r="E447">
        <f t="shared" si="19"/>
        <v>1710945048.6200473</v>
      </c>
      <c r="F447" s="21"/>
      <c r="G447" s="1"/>
      <c r="I447" s="21">
        <f t="shared" si="20"/>
        <v>41363.571516734955</v>
      </c>
    </row>
    <row r="448" spans="2:9" x14ac:dyDescent="0.3">
      <c r="B448" s="2">
        <v>373800</v>
      </c>
      <c r="C448" s="2">
        <v>480088.78151673492</v>
      </c>
      <c r="D448">
        <f t="shared" si="18"/>
        <v>-106288.78151673492</v>
      </c>
      <c r="E448">
        <f t="shared" si="19"/>
        <v>11297305076.31221</v>
      </c>
      <c r="F448" s="21"/>
      <c r="G448" s="1"/>
      <c r="I448" s="21">
        <f t="shared" si="20"/>
        <v>106288.78151673492</v>
      </c>
    </row>
    <row r="449" spans="2:9" x14ac:dyDescent="0.3">
      <c r="B449" s="2">
        <v>312900</v>
      </c>
      <c r="C449" s="2">
        <v>401150.52651673503</v>
      </c>
      <c r="D449">
        <f t="shared" si="18"/>
        <v>-88250.52651673503</v>
      </c>
      <c r="E449">
        <f t="shared" si="19"/>
        <v>7788155430.4809523</v>
      </c>
      <c r="F449" s="21"/>
      <c r="G449" s="1"/>
      <c r="I449" s="21">
        <f t="shared" si="20"/>
        <v>88250.52651673503</v>
      </c>
    </row>
    <row r="450" spans="2:9" x14ac:dyDescent="0.3">
      <c r="B450" s="2">
        <v>296100</v>
      </c>
      <c r="C450" s="2">
        <v>389870.25151673501</v>
      </c>
      <c r="D450">
        <f t="shared" si="18"/>
        <v>-93770.251516735007</v>
      </c>
      <c r="E450">
        <f t="shared" si="19"/>
        <v>8792860069.5117435</v>
      </c>
      <c r="F450" s="21"/>
      <c r="G450" s="1"/>
      <c r="I450" s="21">
        <f t="shared" si="20"/>
        <v>93770.251516735007</v>
      </c>
    </row>
    <row r="451" spans="2:9" x14ac:dyDescent="0.3">
      <c r="B451" s="2">
        <v>266700</v>
      </c>
      <c r="C451" s="2">
        <v>332798.94651673507</v>
      </c>
      <c r="D451">
        <f t="shared" si="18"/>
        <v>-66098.946516735072</v>
      </c>
      <c r="E451">
        <f t="shared" si="19"/>
        <v>4369070730.6222038</v>
      </c>
      <c r="F451" s="21"/>
      <c r="G451" s="1"/>
      <c r="I451" s="21">
        <f t="shared" si="20"/>
        <v>66098.946516735072</v>
      </c>
    </row>
    <row r="452" spans="2:9" x14ac:dyDescent="0.3">
      <c r="B452" s="2">
        <v>283500</v>
      </c>
      <c r="C452" s="2">
        <v>351793.77651673503</v>
      </c>
      <c r="D452">
        <f t="shared" si="18"/>
        <v>-68293.77651673503</v>
      </c>
      <c r="E452">
        <f t="shared" si="19"/>
        <v>4664039910.9177494</v>
      </c>
      <c r="F452" s="21"/>
      <c r="G452" s="1"/>
      <c r="I452" s="21">
        <f t="shared" si="20"/>
        <v>68293.77651673503</v>
      </c>
    </row>
    <row r="453" spans="2:9" x14ac:dyDescent="0.3">
      <c r="B453" s="2">
        <v>312900</v>
      </c>
      <c r="C453" s="2">
        <v>391092.79151673516</v>
      </c>
      <c r="D453">
        <f t="shared" si="18"/>
        <v>-78192.79151673516</v>
      </c>
      <c r="E453">
        <f t="shared" si="19"/>
        <v>6114112645.1796103</v>
      </c>
      <c r="F453" s="21"/>
      <c r="G453" s="1"/>
      <c r="I453" s="21">
        <f t="shared" si="20"/>
        <v>78192.79151673516</v>
      </c>
    </row>
    <row r="454" spans="2:9" x14ac:dyDescent="0.3">
      <c r="B454" s="2">
        <v>420000</v>
      </c>
      <c r="C454" s="2">
        <v>388647.46151673509</v>
      </c>
      <c r="D454">
        <f t="shared" si="18"/>
        <v>31352.538483264914</v>
      </c>
      <c r="E454">
        <f t="shared" si="19"/>
        <v>982981669.34460735</v>
      </c>
      <c r="F454" s="21"/>
      <c r="G454" s="1"/>
      <c r="I454" s="21">
        <f t="shared" si="20"/>
        <v>31352.538483264914</v>
      </c>
    </row>
    <row r="455" spans="2:9" x14ac:dyDescent="0.3">
      <c r="B455" s="2">
        <v>344400</v>
      </c>
      <c r="C455" s="2">
        <v>423657.48151673487</v>
      </c>
      <c r="D455">
        <f t="shared" si="18"/>
        <v>-79257.481516734872</v>
      </c>
      <c r="E455">
        <f t="shared" si="19"/>
        <v>6281748376.3755693</v>
      </c>
      <c r="F455" s="21"/>
      <c r="G455" s="1"/>
      <c r="I455" s="21">
        <f t="shared" si="20"/>
        <v>79257.481516734872</v>
      </c>
    </row>
    <row r="456" spans="2:9" x14ac:dyDescent="0.3">
      <c r="B456" s="2">
        <v>371700</v>
      </c>
      <c r="C456" s="2">
        <v>414726.5865167352</v>
      </c>
      <c r="D456">
        <f t="shared" si="18"/>
        <v>-43026.586516735202</v>
      </c>
      <c r="E456">
        <f t="shared" si="19"/>
        <v>1851287147.2820995</v>
      </c>
      <c r="F456" s="21"/>
      <c r="G456" s="1"/>
      <c r="I456" s="21">
        <f t="shared" si="20"/>
        <v>43026.586516735202</v>
      </c>
    </row>
    <row r="457" spans="2:9" x14ac:dyDescent="0.3">
      <c r="B457" s="2">
        <v>409500</v>
      </c>
      <c r="C457" s="2">
        <v>416779.59151673497</v>
      </c>
      <c r="D457">
        <f t="shared" si="18"/>
        <v>-7279.591516734974</v>
      </c>
      <c r="E457">
        <f t="shared" si="19"/>
        <v>52992452.650519796</v>
      </c>
      <c r="F457" s="21"/>
      <c r="G457" s="1"/>
      <c r="I457" s="21">
        <f t="shared" si="20"/>
        <v>7279.591516734974</v>
      </c>
    </row>
    <row r="458" spans="2:9" x14ac:dyDescent="0.3">
      <c r="B458" s="2">
        <v>424200</v>
      </c>
      <c r="C458" s="2">
        <v>473887.63151673501</v>
      </c>
      <c r="D458">
        <f t="shared" si="18"/>
        <v>-49687.631516735011</v>
      </c>
      <c r="E458">
        <f t="shared" si="19"/>
        <v>2468860725.7428384</v>
      </c>
      <c r="F458" s="21"/>
      <c r="G458" s="1"/>
      <c r="I458" s="21">
        <f t="shared" si="20"/>
        <v>49687.631516735011</v>
      </c>
    </row>
    <row r="459" spans="2:9" x14ac:dyDescent="0.3">
      <c r="B459" s="2">
        <v>449400</v>
      </c>
      <c r="C459" s="2">
        <v>415784.30151673494</v>
      </c>
      <c r="D459">
        <f t="shared" si="18"/>
        <v>33615.698483265063</v>
      </c>
      <c r="E459">
        <f t="shared" si="19"/>
        <v>1130015184.5177891</v>
      </c>
      <c r="F459" s="21"/>
      <c r="G459" s="1"/>
      <c r="I459" s="21">
        <f t="shared" si="20"/>
        <v>33615.698483265063</v>
      </c>
    </row>
    <row r="460" spans="2:9" x14ac:dyDescent="0.3">
      <c r="B460" s="2">
        <v>417900</v>
      </c>
      <c r="C460" s="2">
        <v>366957.46151673509</v>
      </c>
      <c r="D460">
        <f t="shared" si="18"/>
        <v>50942.538483264914</v>
      </c>
      <c r="E460">
        <f t="shared" si="19"/>
        <v>2595142227.1189265</v>
      </c>
      <c r="F460" s="21"/>
      <c r="G460" s="1"/>
      <c r="I460" s="21">
        <f t="shared" si="20"/>
        <v>50942.538483264914</v>
      </c>
    </row>
    <row r="461" spans="2:9" x14ac:dyDescent="0.3">
      <c r="B461" s="2">
        <v>399000</v>
      </c>
      <c r="C461" s="2">
        <v>350900.52651673515</v>
      </c>
      <c r="D461">
        <f t="shared" ref="D461:D500" si="21">B461-C461</f>
        <v>48099.473483264854</v>
      </c>
      <c r="E461">
        <f t="shared" ref="E461:E500" si="22">(D461)^2</f>
        <v>2313559349.3672986</v>
      </c>
      <c r="F461" s="21"/>
      <c r="G461" s="1"/>
      <c r="I461" s="21">
        <f t="shared" ref="I461:I500" si="23">ABS(D461)</f>
        <v>48099.473483264854</v>
      </c>
    </row>
    <row r="462" spans="2:9" x14ac:dyDescent="0.3">
      <c r="B462" s="2">
        <v>401100</v>
      </c>
      <c r="C462" s="2">
        <v>310075.01151673513</v>
      </c>
      <c r="D462">
        <f t="shared" si="21"/>
        <v>91024.988483264868</v>
      </c>
      <c r="E462">
        <f t="shared" si="22"/>
        <v>8285548528.3785019</v>
      </c>
      <c r="F462" s="21"/>
      <c r="G462" s="1"/>
      <c r="I462" s="21">
        <f t="shared" si="23"/>
        <v>91024.988483264868</v>
      </c>
    </row>
    <row r="463" spans="2:9" x14ac:dyDescent="0.3">
      <c r="B463" s="2">
        <v>401100</v>
      </c>
      <c r="C463" s="2">
        <v>338017.81651673507</v>
      </c>
      <c r="D463">
        <f t="shared" si="21"/>
        <v>63082.183483264933</v>
      </c>
      <c r="E463">
        <f t="shared" si="22"/>
        <v>3979361873.0163031</v>
      </c>
      <c r="F463" s="21"/>
      <c r="G463" s="1"/>
      <c r="I463" s="21">
        <f t="shared" si="23"/>
        <v>63082.183483264933</v>
      </c>
    </row>
    <row r="464" spans="2:9" x14ac:dyDescent="0.3">
      <c r="B464" s="2">
        <v>422100</v>
      </c>
      <c r="C464" s="2">
        <v>356140.6015167351</v>
      </c>
      <c r="D464">
        <f t="shared" si="21"/>
        <v>65959.3984832649</v>
      </c>
      <c r="E464">
        <f t="shared" si="22"/>
        <v>4350642248.274128</v>
      </c>
      <c r="F464" s="21"/>
      <c r="G464" s="1"/>
      <c r="I464" s="21">
        <f t="shared" si="23"/>
        <v>65959.3984832649</v>
      </c>
    </row>
    <row r="465" spans="2:9" x14ac:dyDescent="0.3">
      <c r="B465" s="2">
        <v>417900</v>
      </c>
      <c r="C465" s="2">
        <v>378842.14151673502</v>
      </c>
      <c r="D465">
        <f t="shared" si="21"/>
        <v>39057.858483264979</v>
      </c>
      <c r="E465">
        <f t="shared" si="22"/>
        <v>1525516309.2987542</v>
      </c>
      <c r="F465" s="21"/>
      <c r="G465" s="1"/>
      <c r="I465" s="21">
        <f t="shared" si="23"/>
        <v>39057.858483264979</v>
      </c>
    </row>
    <row r="466" spans="2:9" x14ac:dyDescent="0.3">
      <c r="B466" s="2">
        <v>411600</v>
      </c>
      <c r="C466" s="2">
        <v>421312.75151673501</v>
      </c>
      <c r="D466">
        <f t="shared" si="21"/>
        <v>-9712.7515167350066</v>
      </c>
      <c r="E466">
        <f t="shared" si="22"/>
        <v>94337542.025838166</v>
      </c>
      <c r="F466" s="21"/>
      <c r="G466" s="1"/>
      <c r="I466" s="21">
        <f t="shared" si="23"/>
        <v>9712.7515167350066</v>
      </c>
    </row>
    <row r="467" spans="2:9" x14ac:dyDescent="0.3">
      <c r="B467" s="2">
        <v>487200</v>
      </c>
      <c r="C467" s="2">
        <v>423153.26151673502</v>
      </c>
      <c r="D467">
        <f t="shared" si="21"/>
        <v>64046.738483264984</v>
      </c>
      <c r="E467">
        <f t="shared" si="22"/>
        <v>4101984710.3437357</v>
      </c>
      <c r="F467" s="21"/>
      <c r="G467" s="1"/>
      <c r="I467" s="21">
        <f t="shared" si="23"/>
        <v>64046.738483264984</v>
      </c>
    </row>
    <row r="468" spans="2:9" x14ac:dyDescent="0.3">
      <c r="B468" s="2">
        <v>625800</v>
      </c>
      <c r="C468" s="2">
        <v>499450.35651673522</v>
      </c>
      <c r="D468">
        <f t="shared" si="21"/>
        <v>126349.64348326478</v>
      </c>
      <c r="E468">
        <f t="shared" si="22"/>
        <v>15964232408.348114</v>
      </c>
      <c r="F468" s="21"/>
      <c r="G468" s="1"/>
      <c r="I468" s="21">
        <f t="shared" si="23"/>
        <v>126349.64348326478</v>
      </c>
    </row>
    <row r="469" spans="2:9" x14ac:dyDescent="0.3">
      <c r="B469" s="2">
        <v>289800</v>
      </c>
      <c r="C469" s="2">
        <v>294713.39151673502</v>
      </c>
      <c r="D469">
        <f t="shared" si="21"/>
        <v>-4913.3915167350206</v>
      </c>
      <c r="E469">
        <f t="shared" si="22"/>
        <v>24141416.196723666</v>
      </c>
      <c r="F469" s="21"/>
      <c r="G469" s="1"/>
      <c r="I469" s="21">
        <f t="shared" si="23"/>
        <v>4913.3915167350206</v>
      </c>
    </row>
    <row r="470" spans="2:9" x14ac:dyDescent="0.3">
      <c r="B470" s="2">
        <v>279300</v>
      </c>
      <c r="C470" s="2">
        <v>293678.62651673501</v>
      </c>
      <c r="D470">
        <f t="shared" si="21"/>
        <v>-14378.626516735007</v>
      </c>
      <c r="E470">
        <f t="shared" si="22"/>
        <v>206744900.50775507</v>
      </c>
      <c r="F470" s="21"/>
      <c r="G470" s="1"/>
      <c r="I470" s="21">
        <f t="shared" si="23"/>
        <v>14378.626516735007</v>
      </c>
    </row>
    <row r="471" spans="2:9" x14ac:dyDescent="0.3">
      <c r="B471" s="2">
        <v>350700</v>
      </c>
      <c r="C471" s="2">
        <v>380354.1365167349</v>
      </c>
      <c r="D471">
        <f t="shared" si="21"/>
        <v>-29654.136516734899</v>
      </c>
      <c r="E471">
        <f t="shared" si="22"/>
        <v>879367812.5531503</v>
      </c>
      <c r="F471" s="21"/>
      <c r="G471" s="1"/>
      <c r="I471" s="21">
        <f t="shared" si="23"/>
        <v>29654.136516734899</v>
      </c>
    </row>
    <row r="472" spans="2:9" x14ac:dyDescent="0.3">
      <c r="B472" s="2">
        <v>252000</v>
      </c>
      <c r="C472" s="2">
        <v>210618.16651673493</v>
      </c>
      <c r="D472">
        <f t="shared" si="21"/>
        <v>41381.833483265073</v>
      </c>
      <c r="E472">
        <f t="shared" si="22"/>
        <v>1712456142.4366782</v>
      </c>
      <c r="F472" s="21"/>
      <c r="G472" s="1"/>
      <c r="I472" s="21">
        <f t="shared" si="23"/>
        <v>41381.833483265073</v>
      </c>
    </row>
    <row r="473" spans="2:9" x14ac:dyDescent="0.3">
      <c r="B473" s="2">
        <v>306600</v>
      </c>
      <c r="C473" s="2">
        <v>361523.05151673517</v>
      </c>
      <c r="D473">
        <f t="shared" si="21"/>
        <v>-54923.05151673517</v>
      </c>
      <c r="E473">
        <f t="shared" si="22"/>
        <v>3016541587.9099455</v>
      </c>
      <c r="F473" s="21"/>
      <c r="G473" s="1"/>
      <c r="I473" s="21">
        <f t="shared" si="23"/>
        <v>54923.05151673517</v>
      </c>
    </row>
    <row r="474" spans="2:9" x14ac:dyDescent="0.3">
      <c r="B474" s="2">
        <v>449400</v>
      </c>
      <c r="C474" s="2">
        <v>418708.991516735</v>
      </c>
      <c r="D474">
        <f t="shared" si="21"/>
        <v>30691.008483265003</v>
      </c>
      <c r="E474">
        <f t="shared" si="22"/>
        <v>941938001.71984434</v>
      </c>
      <c r="F474" s="21"/>
      <c r="G474" s="1"/>
      <c r="I474" s="21">
        <f t="shared" si="23"/>
        <v>30691.008483265003</v>
      </c>
    </row>
    <row r="475" spans="2:9" x14ac:dyDescent="0.3">
      <c r="B475" s="2">
        <v>483000</v>
      </c>
      <c r="C475" s="2">
        <v>445546.46651673497</v>
      </c>
      <c r="D475">
        <f t="shared" si="21"/>
        <v>37453.533483265026</v>
      </c>
      <c r="E475">
        <f t="shared" si="22"/>
        <v>1402767170.3820543</v>
      </c>
      <c r="F475" s="21"/>
      <c r="G475" s="1"/>
      <c r="I475" s="21">
        <f t="shared" si="23"/>
        <v>37453.533483265026</v>
      </c>
    </row>
    <row r="476" spans="2:9" x14ac:dyDescent="0.3">
      <c r="B476" s="2">
        <v>497700</v>
      </c>
      <c r="C476" s="2">
        <v>522068.48651673499</v>
      </c>
      <c r="D476">
        <f t="shared" si="21"/>
        <v>-24368.486516734993</v>
      </c>
      <c r="E476">
        <f t="shared" si="22"/>
        <v>593823135.1162951</v>
      </c>
      <c r="F476" s="21"/>
      <c r="G476" s="1"/>
      <c r="I476" s="21">
        <f t="shared" si="23"/>
        <v>24368.486516734993</v>
      </c>
    </row>
    <row r="477" spans="2:9" x14ac:dyDescent="0.3">
      <c r="B477" s="2">
        <v>525000</v>
      </c>
      <c r="C477" s="2">
        <v>556909.97151673515</v>
      </c>
      <c r="D477">
        <f t="shared" si="21"/>
        <v>-31909.971516735153</v>
      </c>
      <c r="E477">
        <f t="shared" si="22"/>
        <v>1018246282.1988487</v>
      </c>
      <c r="F477" s="21"/>
      <c r="G477" s="1"/>
      <c r="I477" s="21">
        <f t="shared" si="23"/>
        <v>31909.971516735153</v>
      </c>
    </row>
    <row r="478" spans="2:9" x14ac:dyDescent="0.3">
      <c r="B478" s="2">
        <v>457800</v>
      </c>
      <c r="C478" s="2">
        <v>407466.94651673507</v>
      </c>
      <c r="D478">
        <f t="shared" si="21"/>
        <v>50333.053483264928</v>
      </c>
      <c r="E478">
        <f t="shared" si="22"/>
        <v>2533416272.9492078</v>
      </c>
      <c r="F478" s="21"/>
      <c r="G478" s="1"/>
      <c r="I478" s="21">
        <f t="shared" si="23"/>
        <v>50333.053483264928</v>
      </c>
    </row>
    <row r="479" spans="2:9" x14ac:dyDescent="0.3">
      <c r="B479" s="2">
        <v>432600</v>
      </c>
      <c r="C479" s="2">
        <v>385223.45151673508</v>
      </c>
      <c r="D479">
        <f t="shared" si="21"/>
        <v>47376.548483264924</v>
      </c>
      <c r="E479">
        <f t="shared" si="22"/>
        <v>2244537346.1871519</v>
      </c>
      <c r="F479" s="21"/>
      <c r="G479" s="1"/>
      <c r="I479" s="21">
        <f t="shared" si="23"/>
        <v>47376.548483264924</v>
      </c>
    </row>
    <row r="480" spans="2:9" x14ac:dyDescent="0.3">
      <c r="B480" s="2">
        <v>445200</v>
      </c>
      <c r="C480" s="2">
        <v>453341.85651673499</v>
      </c>
      <c r="D480">
        <f t="shared" si="21"/>
        <v>-8141.856516734988</v>
      </c>
      <c r="E480">
        <f t="shared" si="22"/>
        <v>66289827.539099991</v>
      </c>
      <c r="F480" s="21"/>
      <c r="G480" s="1"/>
      <c r="I480" s="21">
        <f t="shared" si="23"/>
        <v>8141.856516734988</v>
      </c>
    </row>
    <row r="481" spans="2:9" x14ac:dyDescent="0.3">
      <c r="B481" s="2">
        <v>401100</v>
      </c>
      <c r="C481" s="2">
        <v>388466.38651673513</v>
      </c>
      <c r="D481">
        <f t="shared" si="21"/>
        <v>12633.613483264868</v>
      </c>
      <c r="E481">
        <f t="shared" si="22"/>
        <v>159608189.64453188</v>
      </c>
      <c r="F481" s="21"/>
      <c r="G481" s="1"/>
      <c r="I481" s="21">
        <f t="shared" si="23"/>
        <v>12633.613483264868</v>
      </c>
    </row>
    <row r="482" spans="2:9" x14ac:dyDescent="0.3">
      <c r="B482" s="2">
        <v>432600</v>
      </c>
      <c r="C482" s="2">
        <v>408671.27151673514</v>
      </c>
      <c r="D482">
        <f t="shared" si="21"/>
        <v>23928.728483264858</v>
      </c>
      <c r="E482">
        <f t="shared" si="22"/>
        <v>572584046.82581091</v>
      </c>
      <c r="F482" s="21"/>
      <c r="G482" s="1"/>
      <c r="I482" s="21">
        <f t="shared" si="23"/>
        <v>23928.728483264858</v>
      </c>
    </row>
    <row r="483" spans="2:9" x14ac:dyDescent="0.3">
      <c r="B483" s="2">
        <v>319200</v>
      </c>
      <c r="C483" s="2">
        <v>299867.76651673502</v>
      </c>
      <c r="D483">
        <f t="shared" si="21"/>
        <v>19332.233483264979</v>
      </c>
      <c r="E483">
        <f t="shared" si="22"/>
        <v>373735251.45147163</v>
      </c>
      <c r="F483" s="21"/>
      <c r="G483" s="1"/>
      <c r="I483" s="21">
        <f t="shared" si="23"/>
        <v>19332.233483264979</v>
      </c>
    </row>
    <row r="484" spans="2:9" x14ac:dyDescent="0.3">
      <c r="B484" s="2">
        <v>147000</v>
      </c>
      <c r="C484" s="2">
        <v>232287.57651673496</v>
      </c>
      <c r="D484">
        <f t="shared" si="21"/>
        <v>-85287.57651673496</v>
      </c>
      <c r="E484">
        <f t="shared" si="22"/>
        <v>7273970708.0979204</v>
      </c>
      <c r="F484" s="21"/>
      <c r="G484" s="1"/>
      <c r="I484" s="21">
        <f t="shared" si="23"/>
        <v>85287.57651673496</v>
      </c>
    </row>
    <row r="485" spans="2:9" x14ac:dyDescent="0.3">
      <c r="B485" s="2">
        <v>170100</v>
      </c>
      <c r="C485" s="2">
        <v>142552.42151673505</v>
      </c>
      <c r="D485">
        <f t="shared" si="21"/>
        <v>27547.578483264952</v>
      </c>
      <c r="E485">
        <f t="shared" si="22"/>
        <v>758869080.29164207</v>
      </c>
      <c r="F485" s="21"/>
      <c r="G485" s="1"/>
      <c r="I485" s="21">
        <f t="shared" si="23"/>
        <v>27547.578483264952</v>
      </c>
    </row>
    <row r="486" spans="2:9" x14ac:dyDescent="0.3">
      <c r="B486" s="2">
        <v>285600</v>
      </c>
      <c r="C486" s="2">
        <v>345552.16151673504</v>
      </c>
      <c r="D486">
        <f t="shared" si="21"/>
        <v>-59952.161516735039</v>
      </c>
      <c r="E486">
        <f t="shared" si="22"/>
        <v>3594261670.5286856</v>
      </c>
      <c r="F486" s="21"/>
      <c r="G486" s="1"/>
      <c r="I486" s="21">
        <f t="shared" si="23"/>
        <v>59952.161516735039</v>
      </c>
    </row>
    <row r="487" spans="2:9" x14ac:dyDescent="0.3">
      <c r="B487" s="2">
        <v>422100</v>
      </c>
      <c r="C487" s="2">
        <v>396759.44151673495</v>
      </c>
      <c r="D487">
        <f t="shared" si="21"/>
        <v>25340.558483265049</v>
      </c>
      <c r="E487">
        <f t="shared" si="22"/>
        <v>642143904.2437762</v>
      </c>
      <c r="F487" s="21"/>
      <c r="G487" s="1"/>
      <c r="I487" s="21">
        <f t="shared" si="23"/>
        <v>25340.558483265049</v>
      </c>
    </row>
    <row r="488" spans="2:9" x14ac:dyDescent="0.3">
      <c r="B488" s="2">
        <v>457800</v>
      </c>
      <c r="C488" s="2">
        <v>404947.96151673509</v>
      </c>
      <c r="D488">
        <f t="shared" si="21"/>
        <v>52852.038483264914</v>
      </c>
      <c r="E488">
        <f t="shared" si="22"/>
        <v>2793337971.8365154</v>
      </c>
      <c r="F488" s="21"/>
      <c r="G488" s="1"/>
      <c r="I488" s="21">
        <f t="shared" si="23"/>
        <v>52852.038483264914</v>
      </c>
    </row>
    <row r="489" spans="2:9" x14ac:dyDescent="0.3">
      <c r="B489" s="2">
        <v>514500</v>
      </c>
      <c r="C489" s="2">
        <v>406764.27651673503</v>
      </c>
      <c r="D489">
        <f t="shared" si="21"/>
        <v>107735.72348326497</v>
      </c>
      <c r="E489">
        <f t="shared" si="22"/>
        <v>11606986114.462532</v>
      </c>
      <c r="F489" s="21"/>
      <c r="G489" s="1"/>
      <c r="I489" s="21">
        <f t="shared" si="23"/>
        <v>107735.72348326497</v>
      </c>
    </row>
    <row r="490" spans="2:9" x14ac:dyDescent="0.3">
      <c r="B490" s="2">
        <v>485100</v>
      </c>
      <c r="C490" s="2">
        <v>341099.14651673503</v>
      </c>
      <c r="D490">
        <f t="shared" si="21"/>
        <v>144000.85348326497</v>
      </c>
      <c r="E490">
        <f t="shared" si="22"/>
        <v>20736245803.908745</v>
      </c>
      <c r="F490" s="21"/>
      <c r="G490" s="1"/>
      <c r="I490" s="21">
        <f t="shared" si="23"/>
        <v>144000.85348326497</v>
      </c>
    </row>
    <row r="491" spans="2:9" x14ac:dyDescent="0.3">
      <c r="B491" s="2">
        <v>413700</v>
      </c>
      <c r="C491" s="2">
        <v>278455.48651673511</v>
      </c>
      <c r="D491">
        <f t="shared" si="21"/>
        <v>135244.51348326489</v>
      </c>
      <c r="E491">
        <f t="shared" si="22"/>
        <v>18291078427.32502</v>
      </c>
      <c r="F491" s="21"/>
      <c r="G491" s="1"/>
      <c r="I491" s="21">
        <f t="shared" si="23"/>
        <v>135244.51348326489</v>
      </c>
    </row>
    <row r="492" spans="2:9" x14ac:dyDescent="0.3">
      <c r="B492" s="2">
        <v>384300</v>
      </c>
      <c r="C492" s="2">
        <v>389804.70651673508</v>
      </c>
      <c r="D492">
        <f t="shared" si="21"/>
        <v>-5504.7065167350811</v>
      </c>
      <c r="E492">
        <f t="shared" si="22"/>
        <v>30301793.835385669</v>
      </c>
      <c r="F492" s="21"/>
      <c r="G492" s="1"/>
      <c r="I492" s="21">
        <f t="shared" si="23"/>
        <v>5504.7065167350811</v>
      </c>
    </row>
    <row r="493" spans="2:9" x14ac:dyDescent="0.3">
      <c r="B493" s="2">
        <v>445200</v>
      </c>
      <c r="C493" s="2">
        <v>422083.65151673515</v>
      </c>
      <c r="D493">
        <f t="shared" si="21"/>
        <v>23116.348483264854</v>
      </c>
      <c r="E493">
        <f t="shared" si="22"/>
        <v>534365567.1997413</v>
      </c>
      <c r="F493" s="21"/>
      <c r="G493" s="1"/>
      <c r="I493" s="21">
        <f t="shared" si="23"/>
        <v>23116.348483264854</v>
      </c>
    </row>
    <row r="494" spans="2:9" x14ac:dyDescent="0.3">
      <c r="B494" s="2">
        <v>367500</v>
      </c>
      <c r="C494" s="2">
        <v>359478.58151673508</v>
      </c>
      <c r="D494">
        <f t="shared" si="21"/>
        <v>8021.4184832649189</v>
      </c>
      <c r="E494">
        <f t="shared" si="22"/>
        <v>64343154.483664073</v>
      </c>
      <c r="F494" s="21"/>
      <c r="G494" s="1"/>
      <c r="I494" s="21">
        <f t="shared" si="23"/>
        <v>8021.4184832649189</v>
      </c>
    </row>
    <row r="495" spans="2:9" x14ac:dyDescent="0.3">
      <c r="B495" s="2">
        <v>352800</v>
      </c>
      <c r="C495" s="2">
        <v>407479.08151673508</v>
      </c>
      <c r="D495">
        <f t="shared" si="21"/>
        <v>-54679.081516735081</v>
      </c>
      <c r="E495">
        <f t="shared" si="22"/>
        <v>2989801955.5137601</v>
      </c>
      <c r="F495" s="21"/>
      <c r="G495" s="1"/>
      <c r="I495" s="21">
        <f t="shared" si="23"/>
        <v>54679.081516735081</v>
      </c>
    </row>
    <row r="496" spans="2:9" x14ac:dyDescent="0.3">
      <c r="B496" s="2">
        <v>470400</v>
      </c>
      <c r="C496" s="2">
        <v>471945.61151673517</v>
      </c>
      <c r="D496">
        <f t="shared" si="21"/>
        <v>-1545.6115167351672</v>
      </c>
      <c r="E496">
        <f t="shared" si="22"/>
        <v>2388914.9606643841</v>
      </c>
      <c r="F496" s="21"/>
      <c r="G496" s="1"/>
      <c r="I496" s="21">
        <f t="shared" si="23"/>
        <v>1545.6115167351672</v>
      </c>
    </row>
    <row r="497" spans="2:9" x14ac:dyDescent="0.3">
      <c r="B497" s="2">
        <v>432600</v>
      </c>
      <c r="C497" s="2">
        <v>437401.27651673497</v>
      </c>
      <c r="D497">
        <f t="shared" si="21"/>
        <v>-4801.2765167349717</v>
      </c>
      <c r="E497">
        <f t="shared" si="22"/>
        <v>23052256.190150704</v>
      </c>
      <c r="F497" s="21"/>
      <c r="G497" s="1"/>
      <c r="I497" s="21">
        <f t="shared" si="23"/>
        <v>4801.2765167349717</v>
      </c>
    </row>
    <row r="498" spans="2:9" x14ac:dyDescent="0.3">
      <c r="B498" s="2">
        <v>501900</v>
      </c>
      <c r="C498" s="2">
        <v>548821.47651673493</v>
      </c>
      <c r="D498">
        <f t="shared" si="21"/>
        <v>-46921.476516734925</v>
      </c>
      <c r="E498">
        <f t="shared" si="22"/>
        <v>2201624958.5105071</v>
      </c>
      <c r="F498" s="21"/>
      <c r="G498" s="1"/>
      <c r="I498" s="21">
        <f t="shared" si="23"/>
        <v>46921.476516734925</v>
      </c>
    </row>
    <row r="499" spans="2:9" x14ac:dyDescent="0.3">
      <c r="B499" s="2">
        <v>462000</v>
      </c>
      <c r="C499" s="2">
        <v>523953.48651673505</v>
      </c>
      <c r="D499">
        <f t="shared" si="21"/>
        <v>-61953.486516735051</v>
      </c>
      <c r="E499">
        <f t="shared" si="22"/>
        <v>3838234491.5792718</v>
      </c>
      <c r="F499" s="21"/>
      <c r="G499" s="1"/>
      <c r="I499" s="21">
        <f t="shared" si="23"/>
        <v>61953.486516735051</v>
      </c>
    </row>
    <row r="500" spans="2:9" x14ac:dyDescent="0.3">
      <c r="B500" s="2">
        <v>249900</v>
      </c>
      <c r="C500" s="2">
        <v>442629.22651673504</v>
      </c>
      <c r="D500">
        <f t="shared" si="21"/>
        <v>-192729.22651673504</v>
      </c>
      <c r="E500">
        <f t="shared" si="22"/>
        <v>37144554753.738968</v>
      </c>
      <c r="F500" s="21"/>
      <c r="G500" s="1"/>
      <c r="I500" s="21">
        <f t="shared" si="23"/>
        <v>192729.22651673504</v>
      </c>
    </row>
    <row r="501" spans="2:9" x14ac:dyDescent="0.3">
      <c r="D501" t="s">
        <v>37</v>
      </c>
      <c r="E501">
        <f>SUM(E12:E500)</f>
        <v>3767033784400.8125</v>
      </c>
      <c r="F501" s="21"/>
      <c r="H501" s="42" t="s">
        <v>115</v>
      </c>
      <c r="I501" s="43">
        <f>SUM(I12:I500)</f>
        <v>32009407.009487364</v>
      </c>
    </row>
    <row r="502" spans="2:9" x14ac:dyDescent="0.3">
      <c r="D502" s="41" t="s">
        <v>115</v>
      </c>
      <c r="E502" s="41">
        <f>SQRT(E501)</f>
        <v>1940884.7942113443</v>
      </c>
      <c r="I502" s="21">
        <f>I501/100000</f>
        <v>320.09407009487364</v>
      </c>
    </row>
    <row r="503" spans="2:9" x14ac:dyDescent="0.3">
      <c r="E503">
        <f>E502/100000</f>
        <v>19.408847942113443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80CA-C87E-4EA5-B75A-FE83ABD35737}">
  <dimension ref="A2:N503"/>
  <sheetViews>
    <sheetView topLeftCell="B1" workbookViewId="0">
      <selection activeCell="N8" sqref="N8"/>
    </sheetView>
  </sheetViews>
  <sheetFormatPr defaultRowHeight="14.4" x14ac:dyDescent="0.3"/>
  <cols>
    <col min="1" max="1" width="8.88671875" style="2"/>
    <col min="2" max="2" width="14.21875" style="2" bestFit="1" customWidth="1"/>
    <col min="3" max="3" width="15" bestFit="1" customWidth="1"/>
    <col min="6" max="6" width="46.21875" style="2" customWidth="1"/>
    <col min="7" max="7" width="3.44140625" customWidth="1"/>
    <col min="9" max="9" width="39.109375" customWidth="1"/>
  </cols>
  <sheetData>
    <row r="2" spans="1:14" ht="43.2" x14ac:dyDescent="0.3">
      <c r="F2" s="38" t="s">
        <v>117</v>
      </c>
      <c r="G2" s="1"/>
      <c r="I2" s="32" t="s">
        <v>118</v>
      </c>
    </row>
    <row r="3" spans="1:14" x14ac:dyDescent="0.3">
      <c r="G3" s="1"/>
    </row>
    <row r="4" spans="1:14" x14ac:dyDescent="0.3">
      <c r="G4" s="1"/>
    </row>
    <row r="5" spans="1:14" x14ac:dyDescent="0.3">
      <c r="G5" s="1"/>
      <c r="L5" t="s">
        <v>0</v>
      </c>
      <c r="M5" t="s">
        <v>110</v>
      </c>
      <c r="N5" t="s">
        <v>146</v>
      </c>
    </row>
    <row r="6" spans="1:14" x14ac:dyDescent="0.3">
      <c r="G6" s="1"/>
    </row>
    <row r="7" spans="1:14" x14ac:dyDescent="0.3">
      <c r="G7" s="1"/>
    </row>
    <row r="8" spans="1:14" ht="67.5" customHeight="1" x14ac:dyDescent="0.3">
      <c r="B8" s="35" t="s">
        <v>107</v>
      </c>
      <c r="F8" s="39" t="s">
        <v>119</v>
      </c>
      <c r="G8" s="1"/>
      <c r="I8" s="36" t="s">
        <v>120</v>
      </c>
    </row>
    <row r="9" spans="1:14" x14ac:dyDescent="0.3">
      <c r="G9" s="1"/>
    </row>
    <row r="10" spans="1:14" x14ac:dyDescent="0.3">
      <c r="G10" s="1"/>
    </row>
    <row r="11" spans="1:14" x14ac:dyDescent="0.3">
      <c r="A11" s="2" t="s">
        <v>0</v>
      </c>
      <c r="B11" s="2" t="s">
        <v>110</v>
      </c>
      <c r="C11" t="s">
        <v>112</v>
      </c>
      <c r="G11" s="1"/>
    </row>
    <row r="12" spans="1:14" x14ac:dyDescent="0.3">
      <c r="A12" s="2" t="s">
        <v>4</v>
      </c>
      <c r="B12" s="2" t="s">
        <v>55</v>
      </c>
      <c r="C12" t="s">
        <v>111</v>
      </c>
      <c r="F12" s="2" t="s">
        <v>121</v>
      </c>
      <c r="G12" s="1"/>
      <c r="I12" t="s">
        <v>122</v>
      </c>
    </row>
    <row r="13" spans="1:14" x14ac:dyDescent="0.3">
      <c r="A13" s="2">
        <v>504000</v>
      </c>
      <c r="B13" s="2">
        <v>632373.65151673486</v>
      </c>
      <c r="C13">
        <f>A13-B13</f>
        <v>-128373.65151673486</v>
      </c>
      <c r="F13" s="2">
        <f>ABS(C13)</f>
        <v>128373.65151673486</v>
      </c>
      <c r="G13" s="1"/>
    </row>
    <row r="14" spans="1:14" x14ac:dyDescent="0.3">
      <c r="A14" s="2">
        <v>453600</v>
      </c>
      <c r="B14" s="2">
        <v>525180.80151673499</v>
      </c>
      <c r="C14">
        <f t="shared" ref="C14:C77" si="0">A14-B14</f>
        <v>-71580.801516734995</v>
      </c>
      <c r="F14" s="2">
        <f t="shared" ref="F14:F77" si="1">ABS(C14)</f>
        <v>71580.801516734995</v>
      </c>
      <c r="G14" s="1"/>
    </row>
    <row r="15" spans="1:14" x14ac:dyDescent="0.3">
      <c r="A15" s="2">
        <v>728700</v>
      </c>
      <c r="B15" s="2">
        <v>646754.85151673504</v>
      </c>
      <c r="C15">
        <f t="shared" si="0"/>
        <v>81945.148483264958</v>
      </c>
      <c r="F15" s="2">
        <f t="shared" si="1"/>
        <v>81945.148483264958</v>
      </c>
      <c r="G15" s="1"/>
    </row>
    <row r="16" spans="1:14" x14ac:dyDescent="0.3">
      <c r="A16" s="2">
        <v>701400</v>
      </c>
      <c r="B16" s="2">
        <v>624849.80651673512</v>
      </c>
      <c r="C16">
        <f t="shared" si="0"/>
        <v>76550.193483264884</v>
      </c>
      <c r="F16" s="2">
        <f t="shared" si="1"/>
        <v>76550.193483264884</v>
      </c>
      <c r="G16" s="1"/>
    </row>
    <row r="17" spans="1:7" x14ac:dyDescent="0.3">
      <c r="A17" s="2">
        <v>760200</v>
      </c>
      <c r="B17" s="2">
        <v>611818.88151673507</v>
      </c>
      <c r="C17">
        <f t="shared" si="0"/>
        <v>148381.11848326493</v>
      </c>
      <c r="F17" s="2">
        <f t="shared" si="1"/>
        <v>148381.11848326493</v>
      </c>
      <c r="G17" s="1"/>
    </row>
    <row r="18" spans="1:7" x14ac:dyDescent="0.3">
      <c r="A18" s="2">
        <v>602700</v>
      </c>
      <c r="B18" s="2">
        <v>551053.65651673498</v>
      </c>
      <c r="C18">
        <f t="shared" si="0"/>
        <v>51646.343483265024</v>
      </c>
      <c r="F18" s="2">
        <f t="shared" si="1"/>
        <v>51646.343483265024</v>
      </c>
      <c r="G18" s="1"/>
    </row>
    <row r="19" spans="1:7" x14ac:dyDescent="0.3">
      <c r="A19" s="2">
        <v>480900</v>
      </c>
      <c r="B19" s="2">
        <v>504761.70651673496</v>
      </c>
      <c r="C19">
        <f t="shared" si="0"/>
        <v>-23861.706516734965</v>
      </c>
      <c r="F19" s="2">
        <f t="shared" si="1"/>
        <v>23861.706516734965</v>
      </c>
      <c r="G19" s="1"/>
    </row>
    <row r="20" spans="1:7" x14ac:dyDescent="0.3">
      <c r="A20" s="2">
        <v>569100</v>
      </c>
      <c r="B20" s="2">
        <v>445706.82651673496</v>
      </c>
      <c r="C20">
        <f t="shared" si="0"/>
        <v>123393.17348326504</v>
      </c>
      <c r="F20" s="2">
        <f t="shared" si="1"/>
        <v>123393.17348326504</v>
      </c>
      <c r="G20" s="1"/>
    </row>
    <row r="21" spans="1:7" x14ac:dyDescent="0.3">
      <c r="A21" s="2">
        <v>346500</v>
      </c>
      <c r="B21" s="2">
        <v>281922.94151673507</v>
      </c>
      <c r="C21">
        <f t="shared" si="0"/>
        <v>64577.058483264933</v>
      </c>
      <c r="F21" s="2">
        <f t="shared" si="1"/>
        <v>64577.058483264933</v>
      </c>
      <c r="G21" s="1"/>
    </row>
    <row r="22" spans="1:7" x14ac:dyDescent="0.3">
      <c r="A22" s="2">
        <v>396900</v>
      </c>
      <c r="B22" s="2">
        <v>453404.35651673499</v>
      </c>
      <c r="C22">
        <f t="shared" si="0"/>
        <v>-56504.356516734988</v>
      </c>
      <c r="F22" s="2">
        <f t="shared" si="1"/>
        <v>56504.356516734988</v>
      </c>
      <c r="G22" s="1"/>
    </row>
    <row r="23" spans="1:7" x14ac:dyDescent="0.3">
      <c r="A23" s="2">
        <v>315000</v>
      </c>
      <c r="B23" s="2">
        <v>449348.95151673508</v>
      </c>
      <c r="C23">
        <f t="shared" si="0"/>
        <v>-134348.95151673508</v>
      </c>
      <c r="F23" s="2">
        <f t="shared" si="1"/>
        <v>134348.95151673508</v>
      </c>
      <c r="G23" s="1"/>
    </row>
    <row r="24" spans="1:7" x14ac:dyDescent="0.3">
      <c r="A24" s="2">
        <v>396900</v>
      </c>
      <c r="B24" s="2">
        <v>495388.8515167351</v>
      </c>
      <c r="C24">
        <f t="shared" si="0"/>
        <v>-98488.8515167351</v>
      </c>
      <c r="F24" s="2">
        <f t="shared" si="1"/>
        <v>98488.8515167351</v>
      </c>
      <c r="G24" s="1"/>
    </row>
    <row r="25" spans="1:7" x14ac:dyDescent="0.3">
      <c r="A25" s="2">
        <v>455700</v>
      </c>
      <c r="B25" s="2">
        <v>458529.49151673511</v>
      </c>
      <c r="C25">
        <f t="shared" si="0"/>
        <v>-2829.4915167351137</v>
      </c>
      <c r="F25" s="2">
        <f t="shared" si="1"/>
        <v>2829.4915167351137</v>
      </c>
      <c r="G25" s="1"/>
    </row>
    <row r="26" spans="1:7" x14ac:dyDescent="0.3">
      <c r="A26" s="2">
        <v>428400</v>
      </c>
      <c r="B26" s="2">
        <v>431494.84151673503</v>
      </c>
      <c r="C26">
        <f t="shared" si="0"/>
        <v>-3094.8415167350322</v>
      </c>
      <c r="F26" s="2">
        <f t="shared" si="1"/>
        <v>3094.8415167350322</v>
      </c>
      <c r="G26" s="1"/>
    </row>
    <row r="27" spans="1:7" x14ac:dyDescent="0.3">
      <c r="A27" s="2">
        <v>382200</v>
      </c>
      <c r="B27" s="2">
        <v>422521.89651673497</v>
      </c>
      <c r="C27">
        <f t="shared" si="0"/>
        <v>-40321.896516734967</v>
      </c>
      <c r="F27" s="2">
        <f t="shared" si="1"/>
        <v>40321.896516734967</v>
      </c>
      <c r="G27" s="1"/>
    </row>
    <row r="28" spans="1:7" x14ac:dyDescent="0.3">
      <c r="A28" s="2">
        <v>417900</v>
      </c>
      <c r="B28" s="2">
        <v>419261.5765167349</v>
      </c>
      <c r="C28">
        <f t="shared" si="0"/>
        <v>-1361.5765167349018</v>
      </c>
      <c r="F28" s="2">
        <f t="shared" si="1"/>
        <v>1361.5765167349018</v>
      </c>
      <c r="G28" s="1"/>
    </row>
    <row r="29" spans="1:7" x14ac:dyDescent="0.3">
      <c r="A29" s="2">
        <v>485100</v>
      </c>
      <c r="B29" s="2">
        <v>448509.25151673495</v>
      </c>
      <c r="C29">
        <f t="shared" si="0"/>
        <v>36590.748483265052</v>
      </c>
      <c r="F29" s="2">
        <f t="shared" si="1"/>
        <v>36590.748483265052</v>
      </c>
      <c r="G29" s="1"/>
    </row>
    <row r="30" spans="1:7" x14ac:dyDescent="0.3">
      <c r="A30" s="2">
        <v>367500</v>
      </c>
      <c r="B30" s="2">
        <v>365501.9165167351</v>
      </c>
      <c r="C30">
        <f t="shared" si="0"/>
        <v>1998.0834832648979</v>
      </c>
      <c r="F30" s="2">
        <f t="shared" si="1"/>
        <v>1998.0834832648979</v>
      </c>
      <c r="G30" s="1"/>
    </row>
    <row r="31" spans="1:7" x14ac:dyDescent="0.3">
      <c r="A31" s="2">
        <v>424200</v>
      </c>
      <c r="B31" s="2">
        <v>351606.22651673504</v>
      </c>
      <c r="C31">
        <f t="shared" si="0"/>
        <v>72593.773483264958</v>
      </c>
      <c r="F31" s="2">
        <f t="shared" si="1"/>
        <v>72593.773483264958</v>
      </c>
      <c r="G31" s="1"/>
    </row>
    <row r="32" spans="1:7" x14ac:dyDescent="0.3">
      <c r="A32" s="2">
        <v>382200</v>
      </c>
      <c r="B32" s="2">
        <v>379513.43151673512</v>
      </c>
      <c r="C32">
        <f t="shared" si="0"/>
        <v>2686.568483264884</v>
      </c>
      <c r="F32" s="2">
        <f t="shared" si="1"/>
        <v>2686.568483264884</v>
      </c>
      <c r="G32" s="1"/>
    </row>
    <row r="33" spans="1:7" x14ac:dyDescent="0.3">
      <c r="A33" s="2">
        <v>285600</v>
      </c>
      <c r="B33" s="2">
        <v>260253.46651673503</v>
      </c>
      <c r="C33">
        <f t="shared" si="0"/>
        <v>25346.533483264968</v>
      </c>
      <c r="F33" s="2">
        <f t="shared" si="1"/>
        <v>25346.533483264968</v>
      </c>
      <c r="G33" s="1"/>
    </row>
    <row r="34" spans="1:7" x14ac:dyDescent="0.3">
      <c r="A34" s="2">
        <v>411600</v>
      </c>
      <c r="B34" s="2">
        <v>372450.95151673502</v>
      </c>
      <c r="C34">
        <f t="shared" si="0"/>
        <v>39149.048483264982</v>
      </c>
      <c r="F34" s="2">
        <f t="shared" si="1"/>
        <v>39149.048483264982</v>
      </c>
      <c r="G34" s="1"/>
    </row>
    <row r="35" spans="1:7" x14ac:dyDescent="0.3">
      <c r="A35" s="2">
        <v>319200</v>
      </c>
      <c r="B35" s="2">
        <v>334721.34651673492</v>
      </c>
      <c r="C35">
        <f t="shared" si="0"/>
        <v>-15521.34651673492</v>
      </c>
      <c r="F35" s="2">
        <f t="shared" si="1"/>
        <v>15521.34651673492</v>
      </c>
      <c r="G35" s="1"/>
    </row>
    <row r="36" spans="1:7" x14ac:dyDescent="0.3">
      <c r="A36" s="2">
        <v>304500</v>
      </c>
      <c r="B36" s="2">
        <v>293656.62151673494</v>
      </c>
      <c r="C36">
        <f t="shared" si="0"/>
        <v>10843.378483265056</v>
      </c>
      <c r="F36" s="2">
        <f t="shared" si="1"/>
        <v>10843.378483265056</v>
      </c>
      <c r="G36" s="1"/>
    </row>
    <row r="37" spans="1:7" x14ac:dyDescent="0.3">
      <c r="A37" s="2">
        <v>327600</v>
      </c>
      <c r="B37" s="2">
        <v>342104.75651673507</v>
      </c>
      <c r="C37">
        <f t="shared" si="0"/>
        <v>-14504.756516735069</v>
      </c>
      <c r="F37" s="2">
        <f t="shared" si="1"/>
        <v>14504.756516735069</v>
      </c>
      <c r="G37" s="1"/>
    </row>
    <row r="38" spans="1:7" x14ac:dyDescent="0.3">
      <c r="A38" s="2">
        <v>291900</v>
      </c>
      <c r="B38" s="2">
        <v>311692.84151673503</v>
      </c>
      <c r="C38">
        <f t="shared" si="0"/>
        <v>-19792.841516735032</v>
      </c>
      <c r="F38" s="2">
        <f t="shared" si="1"/>
        <v>19792.841516735032</v>
      </c>
      <c r="G38" s="1"/>
    </row>
    <row r="39" spans="1:7" x14ac:dyDescent="0.3">
      <c r="A39" s="2">
        <v>348600</v>
      </c>
      <c r="B39" s="2">
        <v>348661.05151673499</v>
      </c>
      <c r="C39">
        <f t="shared" si="0"/>
        <v>-61.051516734994948</v>
      </c>
      <c r="F39" s="2">
        <f t="shared" si="1"/>
        <v>61.051516734994948</v>
      </c>
      <c r="G39" s="1"/>
    </row>
    <row r="40" spans="1:7" x14ac:dyDescent="0.3">
      <c r="A40" s="2">
        <v>310800</v>
      </c>
      <c r="B40" s="2">
        <v>342120.23151673505</v>
      </c>
      <c r="C40">
        <f t="shared" si="0"/>
        <v>-31320.231516735046</v>
      </c>
      <c r="F40" s="2">
        <f t="shared" si="1"/>
        <v>31320.231516735046</v>
      </c>
      <c r="G40" s="1"/>
    </row>
    <row r="41" spans="1:7" x14ac:dyDescent="0.3">
      <c r="A41" s="2">
        <v>386400</v>
      </c>
      <c r="B41" s="2">
        <v>429504.87151673506</v>
      </c>
      <c r="C41">
        <f t="shared" si="0"/>
        <v>-43104.87151673506</v>
      </c>
      <c r="F41" s="2">
        <f t="shared" si="1"/>
        <v>43104.87151673506</v>
      </c>
      <c r="G41" s="1"/>
    </row>
    <row r="42" spans="1:7" x14ac:dyDescent="0.3">
      <c r="A42" s="2">
        <v>441000</v>
      </c>
      <c r="B42" s="2">
        <v>453896.186516735</v>
      </c>
      <c r="C42">
        <f t="shared" si="0"/>
        <v>-12896.186516735004</v>
      </c>
      <c r="F42" s="2">
        <f t="shared" si="1"/>
        <v>12896.186516735004</v>
      </c>
      <c r="G42" s="1"/>
    </row>
    <row r="43" spans="1:7" x14ac:dyDescent="0.3">
      <c r="A43" s="2">
        <v>266700</v>
      </c>
      <c r="B43" s="2">
        <v>255490.84151673503</v>
      </c>
      <c r="C43">
        <f t="shared" si="0"/>
        <v>11209.158483264968</v>
      </c>
      <c r="F43" s="2">
        <f t="shared" si="1"/>
        <v>11209.158483264968</v>
      </c>
      <c r="G43" s="1"/>
    </row>
    <row r="44" spans="1:7" x14ac:dyDescent="0.3">
      <c r="A44" s="2">
        <v>304500</v>
      </c>
      <c r="B44" s="2">
        <v>390284.11651673517</v>
      </c>
      <c r="C44">
        <f t="shared" si="0"/>
        <v>-85784.116516735172</v>
      </c>
      <c r="F44" s="2">
        <f t="shared" si="1"/>
        <v>85784.116516735172</v>
      </c>
      <c r="G44" s="1"/>
    </row>
    <row r="45" spans="1:7" x14ac:dyDescent="0.3">
      <c r="A45" s="2">
        <v>277200</v>
      </c>
      <c r="B45" s="2">
        <v>220568.35651673493</v>
      </c>
      <c r="C45">
        <f t="shared" si="0"/>
        <v>56631.64348326507</v>
      </c>
      <c r="F45" s="2">
        <f t="shared" si="1"/>
        <v>56631.64348326507</v>
      </c>
      <c r="G45" s="1"/>
    </row>
    <row r="46" spans="1:7" x14ac:dyDescent="0.3">
      <c r="A46" s="2">
        <v>275100</v>
      </c>
      <c r="B46" s="2">
        <v>300560.31151673489</v>
      </c>
      <c r="C46">
        <f t="shared" si="0"/>
        <v>-25460.311516734888</v>
      </c>
      <c r="F46" s="2">
        <f t="shared" si="1"/>
        <v>25460.311516734888</v>
      </c>
      <c r="G46" s="1"/>
    </row>
    <row r="47" spans="1:7" x14ac:dyDescent="0.3">
      <c r="A47" s="2">
        <v>283500</v>
      </c>
      <c r="B47" s="2">
        <v>313163.97651673493</v>
      </c>
      <c r="C47">
        <f t="shared" si="0"/>
        <v>-29663.976516734925</v>
      </c>
      <c r="F47" s="2">
        <f t="shared" si="1"/>
        <v>29663.976516734925</v>
      </c>
      <c r="G47" s="1"/>
    </row>
    <row r="48" spans="1:7" x14ac:dyDescent="0.3">
      <c r="A48" s="2">
        <v>396900</v>
      </c>
      <c r="B48" s="2">
        <v>449789.82151673507</v>
      </c>
      <c r="C48">
        <f t="shared" si="0"/>
        <v>-52889.821516735072</v>
      </c>
      <c r="F48" s="2">
        <f t="shared" si="1"/>
        <v>52889.821516735072</v>
      </c>
      <c r="G48" s="1"/>
    </row>
    <row r="49" spans="1:7" x14ac:dyDescent="0.3">
      <c r="A49" s="2">
        <v>420000</v>
      </c>
      <c r="B49" s="2">
        <v>423057.07151673507</v>
      </c>
      <c r="C49">
        <f t="shared" si="0"/>
        <v>-3057.0715167350718</v>
      </c>
      <c r="F49" s="2">
        <f t="shared" si="1"/>
        <v>3057.0715167350718</v>
      </c>
      <c r="G49" s="1"/>
    </row>
    <row r="50" spans="1:7" x14ac:dyDescent="0.3">
      <c r="A50" s="2">
        <v>441000</v>
      </c>
      <c r="B50" s="2">
        <v>452477.51651673502</v>
      </c>
      <c r="C50">
        <f t="shared" si="0"/>
        <v>-11477.516516735021</v>
      </c>
      <c r="F50" s="2">
        <f t="shared" si="1"/>
        <v>11477.516516735021</v>
      </c>
      <c r="G50" s="1"/>
    </row>
    <row r="51" spans="1:7" x14ac:dyDescent="0.3">
      <c r="A51" s="2">
        <v>518700</v>
      </c>
      <c r="B51" s="2">
        <v>447764.41651673504</v>
      </c>
      <c r="C51">
        <f t="shared" si="0"/>
        <v>70935.583483264956</v>
      </c>
      <c r="F51" s="2">
        <f t="shared" si="1"/>
        <v>70935.583483264956</v>
      </c>
      <c r="G51" s="1"/>
    </row>
    <row r="52" spans="1:7" x14ac:dyDescent="0.3">
      <c r="A52" s="2">
        <v>646800</v>
      </c>
      <c r="B52" s="2">
        <v>582789.29151673499</v>
      </c>
      <c r="C52">
        <f t="shared" si="0"/>
        <v>64010.708483265014</v>
      </c>
      <c r="F52" s="2">
        <f t="shared" si="1"/>
        <v>64010.708483265014</v>
      </c>
      <c r="G52" s="1"/>
    </row>
    <row r="53" spans="1:7" x14ac:dyDescent="0.3">
      <c r="A53" s="2">
        <v>732900</v>
      </c>
      <c r="B53" s="2">
        <v>645312.33651673491</v>
      </c>
      <c r="C53">
        <f t="shared" si="0"/>
        <v>87587.663483265089</v>
      </c>
      <c r="F53" s="2">
        <f t="shared" si="1"/>
        <v>87587.663483265089</v>
      </c>
      <c r="G53" s="1"/>
    </row>
    <row r="54" spans="1:7" x14ac:dyDescent="0.3">
      <c r="A54" s="2">
        <v>558600</v>
      </c>
      <c r="B54" s="2">
        <v>600093.48651673505</v>
      </c>
      <c r="C54">
        <f t="shared" si="0"/>
        <v>-41493.486516735051</v>
      </c>
      <c r="F54" s="2">
        <f t="shared" si="1"/>
        <v>41493.486516735051</v>
      </c>
      <c r="G54" s="1"/>
    </row>
    <row r="55" spans="1:7" x14ac:dyDescent="0.3">
      <c r="A55" s="2">
        <v>531300</v>
      </c>
      <c r="B55" s="2">
        <v>537544.39151673508</v>
      </c>
      <c r="C55">
        <f t="shared" si="0"/>
        <v>-6244.3915167350788</v>
      </c>
      <c r="F55" s="2">
        <f t="shared" si="1"/>
        <v>6244.3915167350788</v>
      </c>
      <c r="G55" s="1"/>
    </row>
    <row r="56" spans="1:7" x14ac:dyDescent="0.3">
      <c r="A56" s="2">
        <v>518700</v>
      </c>
      <c r="B56" s="2">
        <v>523496.25151673501</v>
      </c>
      <c r="C56">
        <f t="shared" si="0"/>
        <v>-4796.2515167350066</v>
      </c>
      <c r="F56" s="2">
        <f t="shared" si="1"/>
        <v>4796.2515167350066</v>
      </c>
      <c r="G56" s="1"/>
    </row>
    <row r="57" spans="1:7" x14ac:dyDescent="0.3">
      <c r="A57" s="2">
        <v>445200</v>
      </c>
      <c r="B57" s="2">
        <v>488312.63151673513</v>
      </c>
      <c r="C57">
        <f t="shared" si="0"/>
        <v>-43112.631516735128</v>
      </c>
      <c r="F57" s="2">
        <f t="shared" si="1"/>
        <v>43112.631516735128</v>
      </c>
      <c r="G57" s="1"/>
    </row>
    <row r="58" spans="1:7" x14ac:dyDescent="0.3">
      <c r="A58" s="2">
        <v>405300</v>
      </c>
      <c r="B58" s="2">
        <v>447651.63651673502</v>
      </c>
      <c r="C58">
        <f t="shared" si="0"/>
        <v>-42351.636516735016</v>
      </c>
      <c r="F58" s="2">
        <f t="shared" si="1"/>
        <v>42351.636516735016</v>
      </c>
      <c r="G58" s="1"/>
    </row>
    <row r="59" spans="1:7" x14ac:dyDescent="0.3">
      <c r="A59" s="2">
        <v>420000</v>
      </c>
      <c r="B59" s="2">
        <v>413909.33651673509</v>
      </c>
      <c r="C59">
        <f t="shared" si="0"/>
        <v>6090.6634832649142</v>
      </c>
      <c r="F59" s="2">
        <f t="shared" si="1"/>
        <v>6090.6634832649142</v>
      </c>
      <c r="G59" s="1"/>
    </row>
    <row r="60" spans="1:7" x14ac:dyDescent="0.3">
      <c r="A60" s="2">
        <v>348600</v>
      </c>
      <c r="B60" s="2">
        <v>384583.34651673498</v>
      </c>
      <c r="C60">
        <f t="shared" si="0"/>
        <v>-35983.346516734979</v>
      </c>
      <c r="F60" s="2">
        <f t="shared" si="1"/>
        <v>35983.346516734979</v>
      </c>
      <c r="G60" s="1"/>
    </row>
    <row r="61" spans="1:7" x14ac:dyDescent="0.3">
      <c r="A61" s="2">
        <v>302400</v>
      </c>
      <c r="B61" s="2">
        <v>199664.34151673509</v>
      </c>
      <c r="C61">
        <f t="shared" si="0"/>
        <v>102735.65848326491</v>
      </c>
      <c r="F61" s="2">
        <f t="shared" si="1"/>
        <v>102735.65848326491</v>
      </c>
      <c r="G61" s="1"/>
    </row>
    <row r="62" spans="1:7" x14ac:dyDescent="0.3">
      <c r="A62" s="2">
        <v>407400</v>
      </c>
      <c r="B62" s="2">
        <v>375740.92651673505</v>
      </c>
      <c r="C62">
        <f t="shared" si="0"/>
        <v>31659.073483264947</v>
      </c>
      <c r="F62" s="2">
        <f t="shared" si="1"/>
        <v>31659.073483264947</v>
      </c>
      <c r="G62" s="1"/>
    </row>
    <row r="63" spans="1:7" x14ac:dyDescent="0.3">
      <c r="A63" s="2">
        <v>413700</v>
      </c>
      <c r="B63" s="2">
        <v>458266.84151673509</v>
      </c>
      <c r="C63">
        <f t="shared" si="0"/>
        <v>-44566.84151673509</v>
      </c>
      <c r="F63" s="2">
        <f t="shared" si="1"/>
        <v>44566.84151673509</v>
      </c>
      <c r="G63" s="1"/>
    </row>
    <row r="64" spans="1:7" x14ac:dyDescent="0.3">
      <c r="A64" s="2">
        <v>430500</v>
      </c>
      <c r="B64" s="2">
        <v>515037.70151673508</v>
      </c>
      <c r="C64">
        <f t="shared" si="0"/>
        <v>-84537.701516735076</v>
      </c>
      <c r="F64" s="2">
        <f t="shared" si="1"/>
        <v>84537.701516735076</v>
      </c>
      <c r="G64" s="1"/>
    </row>
    <row r="65" spans="1:7" x14ac:dyDescent="0.3">
      <c r="A65" s="2">
        <v>525000</v>
      </c>
      <c r="B65" s="2">
        <v>594340.79151673499</v>
      </c>
      <c r="C65">
        <f t="shared" si="0"/>
        <v>-69340.791516734986</v>
      </c>
      <c r="F65" s="2">
        <f t="shared" si="1"/>
        <v>69340.791516734986</v>
      </c>
      <c r="G65" s="1"/>
    </row>
    <row r="66" spans="1:7" x14ac:dyDescent="0.3">
      <c r="A66" s="2">
        <v>491400</v>
      </c>
      <c r="B66" s="2">
        <v>515758.5965167351</v>
      </c>
      <c r="C66">
        <f t="shared" si="0"/>
        <v>-24358.596516735095</v>
      </c>
      <c r="F66" s="2">
        <f t="shared" si="1"/>
        <v>24358.596516735095</v>
      </c>
      <c r="G66" s="1"/>
    </row>
    <row r="67" spans="1:7" x14ac:dyDescent="0.3">
      <c r="A67" s="2">
        <v>396900</v>
      </c>
      <c r="B67" s="2">
        <v>353312.71651673497</v>
      </c>
      <c r="C67">
        <f t="shared" si="0"/>
        <v>43587.283483265026</v>
      </c>
      <c r="F67" s="2">
        <f t="shared" si="1"/>
        <v>43587.283483265026</v>
      </c>
      <c r="G67" s="1"/>
    </row>
    <row r="68" spans="1:7" x14ac:dyDescent="0.3">
      <c r="A68" s="2">
        <v>743400</v>
      </c>
      <c r="B68" s="2">
        <v>641883.59151673503</v>
      </c>
      <c r="C68">
        <f t="shared" si="0"/>
        <v>101516.40848326497</v>
      </c>
      <c r="F68" s="2">
        <f t="shared" si="1"/>
        <v>101516.40848326497</v>
      </c>
      <c r="G68" s="1"/>
    </row>
    <row r="69" spans="1:7" x14ac:dyDescent="0.3">
      <c r="A69" s="2">
        <v>518700</v>
      </c>
      <c r="B69" s="2">
        <v>568198.46151673491</v>
      </c>
      <c r="C69">
        <f t="shared" si="0"/>
        <v>-49498.461516734911</v>
      </c>
      <c r="F69" s="2">
        <f t="shared" si="1"/>
        <v>49498.461516734911</v>
      </c>
      <c r="G69" s="1"/>
    </row>
    <row r="70" spans="1:7" x14ac:dyDescent="0.3">
      <c r="A70" s="2">
        <v>663600</v>
      </c>
      <c r="B70" s="2">
        <v>668308.686516735</v>
      </c>
      <c r="C70">
        <f t="shared" si="0"/>
        <v>-4708.6865167350043</v>
      </c>
      <c r="F70" s="2">
        <f t="shared" si="1"/>
        <v>4708.6865167350043</v>
      </c>
      <c r="G70" s="1"/>
    </row>
    <row r="71" spans="1:7" x14ac:dyDescent="0.3">
      <c r="A71" s="2">
        <v>489300</v>
      </c>
      <c r="B71" s="2">
        <v>488989.78151673503</v>
      </c>
      <c r="C71">
        <f t="shared" si="0"/>
        <v>310.21848326496547</v>
      </c>
      <c r="F71" s="2">
        <f t="shared" si="1"/>
        <v>310.21848326496547</v>
      </c>
      <c r="G71" s="1"/>
    </row>
    <row r="72" spans="1:7" x14ac:dyDescent="0.3">
      <c r="A72" s="2">
        <v>411600</v>
      </c>
      <c r="B72" s="2">
        <v>444514.97151673498</v>
      </c>
      <c r="C72">
        <f t="shared" si="0"/>
        <v>-32914.971516734979</v>
      </c>
      <c r="F72" s="2">
        <f t="shared" si="1"/>
        <v>32914.971516734979</v>
      </c>
      <c r="G72" s="1"/>
    </row>
    <row r="73" spans="1:7" x14ac:dyDescent="0.3">
      <c r="A73" s="2">
        <v>392700</v>
      </c>
      <c r="B73" s="2">
        <v>385777.31151673506</v>
      </c>
      <c r="C73">
        <f t="shared" si="0"/>
        <v>6922.6884832649375</v>
      </c>
      <c r="F73" s="2">
        <f t="shared" si="1"/>
        <v>6922.6884832649375</v>
      </c>
      <c r="G73" s="1"/>
    </row>
    <row r="74" spans="1:7" x14ac:dyDescent="0.3">
      <c r="A74" s="2">
        <v>336000</v>
      </c>
      <c r="B74" s="2">
        <v>391259.22651673498</v>
      </c>
      <c r="C74">
        <f t="shared" si="0"/>
        <v>-55259.226516734983</v>
      </c>
      <c r="F74" s="2">
        <f t="shared" si="1"/>
        <v>55259.226516734983</v>
      </c>
      <c r="G74" s="1"/>
    </row>
    <row r="75" spans="1:7" x14ac:dyDescent="0.3">
      <c r="A75" s="2">
        <v>466200</v>
      </c>
      <c r="B75" s="2">
        <v>517321.86651673511</v>
      </c>
      <c r="C75">
        <f t="shared" si="0"/>
        <v>-51121.866516735114</v>
      </c>
      <c r="F75" s="2">
        <f t="shared" si="1"/>
        <v>51121.866516735114</v>
      </c>
      <c r="G75" s="1"/>
    </row>
    <row r="76" spans="1:7" x14ac:dyDescent="0.3">
      <c r="A76" s="2">
        <v>525000</v>
      </c>
      <c r="B76" s="2">
        <v>513759.02651673503</v>
      </c>
      <c r="C76">
        <f t="shared" si="0"/>
        <v>11240.97348326497</v>
      </c>
      <c r="F76" s="2">
        <f t="shared" si="1"/>
        <v>11240.97348326497</v>
      </c>
      <c r="G76" s="1"/>
    </row>
    <row r="77" spans="1:7" x14ac:dyDescent="0.3">
      <c r="A77" s="2">
        <v>693000</v>
      </c>
      <c r="B77" s="2">
        <v>580536.50651673507</v>
      </c>
      <c r="C77">
        <f t="shared" si="0"/>
        <v>112463.49348326493</v>
      </c>
      <c r="F77" s="2">
        <f t="shared" si="1"/>
        <v>112463.49348326493</v>
      </c>
      <c r="G77" s="1"/>
    </row>
    <row r="78" spans="1:7" x14ac:dyDescent="0.3">
      <c r="A78" s="2">
        <v>493500</v>
      </c>
      <c r="B78" s="2">
        <v>595472.21651673503</v>
      </c>
      <c r="C78">
        <f t="shared" ref="C78:C141" si="2">A78-B78</f>
        <v>-101972.21651673503</v>
      </c>
      <c r="F78" s="2">
        <f t="shared" ref="F78:F141" si="3">ABS(C78)</f>
        <v>101972.21651673503</v>
      </c>
      <c r="G78" s="1"/>
    </row>
    <row r="79" spans="1:7" x14ac:dyDescent="0.3">
      <c r="A79" s="2">
        <v>407400</v>
      </c>
      <c r="B79" s="2">
        <v>491501.09151673497</v>
      </c>
      <c r="C79">
        <f t="shared" si="2"/>
        <v>-84101.091516734974</v>
      </c>
      <c r="F79" s="2">
        <f t="shared" si="3"/>
        <v>84101.091516734974</v>
      </c>
      <c r="G79" s="1"/>
    </row>
    <row r="80" spans="1:7" x14ac:dyDescent="0.3">
      <c r="A80" s="2">
        <v>462000</v>
      </c>
      <c r="B80" s="2">
        <v>468017.76651673502</v>
      </c>
      <c r="C80">
        <f t="shared" si="2"/>
        <v>-6017.7665167350206</v>
      </c>
      <c r="F80" s="2">
        <f t="shared" si="3"/>
        <v>6017.7665167350206</v>
      </c>
      <c r="G80" s="1"/>
    </row>
    <row r="81" spans="1:7" x14ac:dyDescent="0.3">
      <c r="A81" s="2">
        <v>365400</v>
      </c>
      <c r="B81" s="2">
        <v>389296.79651673505</v>
      </c>
      <c r="C81">
        <f t="shared" si="2"/>
        <v>-23896.796516735048</v>
      </c>
      <c r="F81" s="2">
        <f t="shared" si="3"/>
        <v>23896.796516735048</v>
      </c>
      <c r="G81" s="1"/>
    </row>
    <row r="82" spans="1:7" x14ac:dyDescent="0.3">
      <c r="A82" s="2">
        <v>438900</v>
      </c>
      <c r="B82" s="2">
        <v>461137.91151673504</v>
      </c>
      <c r="C82">
        <f t="shared" si="2"/>
        <v>-22237.911516735039</v>
      </c>
      <c r="F82" s="2">
        <f t="shared" si="3"/>
        <v>22237.911516735039</v>
      </c>
      <c r="G82" s="1"/>
    </row>
    <row r="83" spans="1:7" x14ac:dyDescent="0.3">
      <c r="A83" s="2">
        <v>508200</v>
      </c>
      <c r="B83" s="2">
        <v>523800.32151673496</v>
      </c>
      <c r="C83">
        <f t="shared" si="2"/>
        <v>-15600.321516734955</v>
      </c>
      <c r="F83" s="2">
        <f t="shared" si="3"/>
        <v>15600.321516734955</v>
      </c>
      <c r="G83" s="1"/>
    </row>
    <row r="84" spans="1:7" x14ac:dyDescent="0.3">
      <c r="A84" s="2">
        <v>455700</v>
      </c>
      <c r="B84" s="2">
        <v>450043.84151673509</v>
      </c>
      <c r="C84">
        <f t="shared" si="2"/>
        <v>5656.1584832649096</v>
      </c>
      <c r="F84" s="2">
        <f t="shared" si="3"/>
        <v>5656.1584832649096</v>
      </c>
      <c r="G84" s="1"/>
    </row>
    <row r="85" spans="1:7" x14ac:dyDescent="0.3">
      <c r="A85" s="2">
        <v>478800</v>
      </c>
      <c r="B85" s="2">
        <v>506348.24151673511</v>
      </c>
      <c r="C85">
        <f t="shared" si="2"/>
        <v>-27548.241516735114</v>
      </c>
      <c r="F85" s="2">
        <f t="shared" si="3"/>
        <v>27548.241516735114</v>
      </c>
      <c r="G85" s="1"/>
    </row>
    <row r="86" spans="1:7" x14ac:dyDescent="0.3">
      <c r="A86" s="2">
        <v>491400</v>
      </c>
      <c r="B86" s="2">
        <v>500014.96151673509</v>
      </c>
      <c r="C86">
        <f t="shared" si="2"/>
        <v>-8614.9615167350858</v>
      </c>
      <c r="F86" s="2">
        <f t="shared" si="3"/>
        <v>8614.9615167350858</v>
      </c>
      <c r="G86" s="1"/>
    </row>
    <row r="87" spans="1:7" x14ac:dyDescent="0.3">
      <c r="A87" s="2">
        <v>506100</v>
      </c>
      <c r="B87" s="2">
        <v>520430.02151673514</v>
      </c>
      <c r="C87">
        <f t="shared" si="2"/>
        <v>-14330.021516735142</v>
      </c>
      <c r="F87" s="2">
        <f t="shared" si="3"/>
        <v>14330.021516735142</v>
      </c>
      <c r="G87" s="1"/>
    </row>
    <row r="88" spans="1:7" x14ac:dyDescent="0.3">
      <c r="A88" s="2">
        <v>449400</v>
      </c>
      <c r="B88" s="2">
        <v>498121.52651673503</v>
      </c>
      <c r="C88">
        <f t="shared" si="2"/>
        <v>-48721.52651673503</v>
      </c>
      <c r="F88" s="2">
        <f t="shared" si="3"/>
        <v>48721.52651673503</v>
      </c>
      <c r="G88" s="1"/>
    </row>
    <row r="89" spans="1:7" x14ac:dyDescent="0.3">
      <c r="A89" s="2">
        <v>420000</v>
      </c>
      <c r="B89" s="2">
        <v>464643.10151673498</v>
      </c>
      <c r="C89">
        <f t="shared" si="2"/>
        <v>-44643.101516734983</v>
      </c>
      <c r="F89" s="2">
        <f t="shared" si="3"/>
        <v>44643.101516734983</v>
      </c>
      <c r="G89" s="1"/>
    </row>
    <row r="90" spans="1:7" x14ac:dyDescent="0.3">
      <c r="A90" s="2">
        <v>436800</v>
      </c>
      <c r="B90" s="2">
        <v>471053.86651673511</v>
      </c>
      <c r="C90">
        <f t="shared" si="2"/>
        <v>-34253.866516735114</v>
      </c>
      <c r="F90" s="2">
        <f t="shared" si="3"/>
        <v>34253.866516735114</v>
      </c>
      <c r="G90" s="1"/>
    </row>
    <row r="91" spans="1:7" x14ac:dyDescent="0.3">
      <c r="A91" s="2">
        <v>445200</v>
      </c>
      <c r="B91" s="2">
        <v>456560.41651673504</v>
      </c>
      <c r="C91">
        <f t="shared" si="2"/>
        <v>-11360.416516735044</v>
      </c>
      <c r="F91" s="2">
        <f t="shared" si="3"/>
        <v>11360.416516735044</v>
      </c>
      <c r="G91" s="1"/>
    </row>
    <row r="92" spans="1:7" x14ac:dyDescent="0.3">
      <c r="A92" s="2">
        <v>426300</v>
      </c>
      <c r="B92" s="2">
        <v>460720.90651673503</v>
      </c>
      <c r="C92">
        <f t="shared" si="2"/>
        <v>-34420.906516735035</v>
      </c>
      <c r="F92" s="2">
        <f t="shared" si="3"/>
        <v>34420.906516735035</v>
      </c>
      <c r="G92" s="1"/>
    </row>
    <row r="93" spans="1:7" x14ac:dyDescent="0.3">
      <c r="A93" s="2">
        <v>588000</v>
      </c>
      <c r="B93" s="2">
        <v>570047.94151673513</v>
      </c>
      <c r="C93">
        <f t="shared" si="2"/>
        <v>17952.058483264875</v>
      </c>
      <c r="F93" s="2">
        <f t="shared" si="3"/>
        <v>17952.058483264875</v>
      </c>
      <c r="G93" s="1"/>
    </row>
    <row r="94" spans="1:7" x14ac:dyDescent="0.3">
      <c r="A94" s="2">
        <v>501900</v>
      </c>
      <c r="B94" s="2">
        <v>539760.35151673504</v>
      </c>
      <c r="C94">
        <f t="shared" si="2"/>
        <v>-37860.351516735042</v>
      </c>
      <c r="F94" s="2">
        <f t="shared" si="3"/>
        <v>37860.351516735042</v>
      </c>
      <c r="G94" s="1"/>
    </row>
    <row r="95" spans="1:7" x14ac:dyDescent="0.3">
      <c r="A95" s="2">
        <v>520800</v>
      </c>
      <c r="B95" s="2">
        <v>517743.74651673506</v>
      </c>
      <c r="C95">
        <f t="shared" si="2"/>
        <v>3056.2534832649399</v>
      </c>
      <c r="F95" s="2">
        <f t="shared" si="3"/>
        <v>3056.2534832649399</v>
      </c>
      <c r="G95" s="1"/>
    </row>
    <row r="96" spans="1:7" x14ac:dyDescent="0.3">
      <c r="A96" s="2">
        <v>480900</v>
      </c>
      <c r="B96" s="2">
        <v>497486.76151673496</v>
      </c>
      <c r="C96">
        <f t="shared" si="2"/>
        <v>-16586.761516734958</v>
      </c>
      <c r="F96" s="2">
        <f t="shared" si="3"/>
        <v>16586.761516734958</v>
      </c>
      <c r="G96" s="1"/>
    </row>
    <row r="97" spans="1:7" x14ac:dyDescent="0.3">
      <c r="A97" s="2">
        <v>501900</v>
      </c>
      <c r="B97" s="2">
        <v>503558.80151673511</v>
      </c>
      <c r="C97">
        <f t="shared" si="2"/>
        <v>-1658.8015167351114</v>
      </c>
      <c r="F97" s="2">
        <f t="shared" si="3"/>
        <v>1658.8015167351114</v>
      </c>
      <c r="G97" s="1"/>
    </row>
    <row r="98" spans="1:7" x14ac:dyDescent="0.3">
      <c r="A98" s="2">
        <v>558600</v>
      </c>
      <c r="B98" s="2">
        <v>557944.37651673495</v>
      </c>
      <c r="C98">
        <f t="shared" si="2"/>
        <v>655.62348326505162</v>
      </c>
      <c r="F98" s="2">
        <f t="shared" si="3"/>
        <v>655.62348326505162</v>
      </c>
      <c r="G98" s="1"/>
    </row>
    <row r="99" spans="1:7" x14ac:dyDescent="0.3">
      <c r="A99" s="2">
        <v>472500</v>
      </c>
      <c r="B99" s="2">
        <v>436032.73151673505</v>
      </c>
      <c r="C99">
        <f t="shared" si="2"/>
        <v>36467.268483264954</v>
      </c>
      <c r="F99" s="2">
        <f t="shared" si="3"/>
        <v>36467.268483264954</v>
      </c>
      <c r="G99" s="1"/>
    </row>
    <row r="100" spans="1:7" x14ac:dyDescent="0.3">
      <c r="A100" s="2">
        <v>466200</v>
      </c>
      <c r="B100" s="2">
        <v>493161.2015167349</v>
      </c>
      <c r="C100">
        <f t="shared" si="2"/>
        <v>-26961.201516734902</v>
      </c>
      <c r="F100" s="2">
        <f t="shared" si="3"/>
        <v>26961.201516734902</v>
      </c>
      <c r="G100" s="1"/>
    </row>
    <row r="101" spans="1:7" x14ac:dyDescent="0.3">
      <c r="A101" s="2">
        <v>495600</v>
      </c>
      <c r="B101" s="2">
        <v>615398.25151673495</v>
      </c>
      <c r="C101">
        <f t="shared" si="2"/>
        <v>-119798.25151673495</v>
      </c>
      <c r="F101" s="2">
        <f t="shared" si="3"/>
        <v>119798.25151673495</v>
      </c>
      <c r="G101" s="1"/>
    </row>
    <row r="102" spans="1:7" x14ac:dyDescent="0.3">
      <c r="A102" s="2">
        <v>602700</v>
      </c>
      <c r="B102" s="2">
        <v>619461.13151673484</v>
      </c>
      <c r="C102">
        <f t="shared" si="2"/>
        <v>-16761.131516734837</v>
      </c>
      <c r="F102" s="2">
        <f t="shared" si="3"/>
        <v>16761.131516734837</v>
      </c>
      <c r="G102" s="1"/>
    </row>
    <row r="103" spans="1:7" x14ac:dyDescent="0.3">
      <c r="A103" s="2">
        <v>474600</v>
      </c>
      <c r="B103" s="2">
        <v>528414.71151673491</v>
      </c>
      <c r="C103">
        <f t="shared" si="2"/>
        <v>-53814.711516734911</v>
      </c>
      <c r="F103" s="2">
        <f t="shared" si="3"/>
        <v>53814.711516734911</v>
      </c>
      <c r="G103" s="1"/>
    </row>
    <row r="104" spans="1:7" x14ac:dyDescent="0.3">
      <c r="A104" s="2">
        <v>462000</v>
      </c>
      <c r="B104" s="2">
        <v>533993.82151673501</v>
      </c>
      <c r="C104">
        <f t="shared" si="2"/>
        <v>-71993.821516735014</v>
      </c>
      <c r="F104" s="2">
        <f t="shared" si="3"/>
        <v>71993.821516735014</v>
      </c>
      <c r="G104" s="1"/>
    </row>
    <row r="105" spans="1:7" x14ac:dyDescent="0.3">
      <c r="A105" s="2">
        <v>480900</v>
      </c>
      <c r="B105" s="2">
        <v>529833.88651673496</v>
      </c>
      <c r="C105">
        <f t="shared" si="2"/>
        <v>-48933.886516734958</v>
      </c>
      <c r="F105" s="2">
        <f t="shared" si="3"/>
        <v>48933.886516734958</v>
      </c>
      <c r="G105" s="1"/>
    </row>
    <row r="106" spans="1:7" x14ac:dyDescent="0.3">
      <c r="A106" s="2">
        <v>525000</v>
      </c>
      <c r="B106" s="2">
        <v>530992.92151673511</v>
      </c>
      <c r="C106">
        <f t="shared" si="2"/>
        <v>-5992.9215167351067</v>
      </c>
      <c r="F106" s="2">
        <f t="shared" si="3"/>
        <v>5992.9215167351067</v>
      </c>
      <c r="G106" s="1"/>
    </row>
    <row r="107" spans="1:7" x14ac:dyDescent="0.3">
      <c r="A107" s="2">
        <v>432600</v>
      </c>
      <c r="B107" s="2">
        <v>486763.77151673503</v>
      </c>
      <c r="C107">
        <f t="shared" si="2"/>
        <v>-54163.771516735025</v>
      </c>
      <c r="F107" s="2">
        <f t="shared" si="3"/>
        <v>54163.771516735025</v>
      </c>
      <c r="G107" s="1"/>
    </row>
    <row r="108" spans="1:7" x14ac:dyDescent="0.3">
      <c r="A108" s="2">
        <v>596400</v>
      </c>
      <c r="B108" s="2">
        <v>565955.67151673499</v>
      </c>
      <c r="C108">
        <f t="shared" si="2"/>
        <v>30444.32848326501</v>
      </c>
      <c r="F108" s="2">
        <f t="shared" si="3"/>
        <v>30444.32848326501</v>
      </c>
      <c r="G108" s="1"/>
    </row>
    <row r="109" spans="1:7" x14ac:dyDescent="0.3">
      <c r="A109" s="2">
        <v>449400</v>
      </c>
      <c r="B109" s="2">
        <v>475080.83151673491</v>
      </c>
      <c r="C109">
        <f t="shared" si="2"/>
        <v>-25680.831516734906</v>
      </c>
      <c r="F109" s="2">
        <f t="shared" si="3"/>
        <v>25680.831516734906</v>
      </c>
      <c r="G109" s="1"/>
    </row>
    <row r="110" spans="1:7" x14ac:dyDescent="0.3">
      <c r="A110" s="2">
        <v>812700</v>
      </c>
      <c r="B110" s="2">
        <v>717427.09151673503</v>
      </c>
      <c r="C110">
        <f t="shared" si="2"/>
        <v>95272.908483264968</v>
      </c>
      <c r="F110" s="2">
        <f t="shared" si="3"/>
        <v>95272.908483264968</v>
      </c>
      <c r="G110" s="1"/>
    </row>
    <row r="111" spans="1:7" x14ac:dyDescent="0.3">
      <c r="A111" s="2">
        <v>919800</v>
      </c>
      <c r="B111" s="2">
        <v>702815.76651673508</v>
      </c>
      <c r="C111">
        <f t="shared" si="2"/>
        <v>216984.23348326492</v>
      </c>
      <c r="F111" s="2">
        <f t="shared" si="3"/>
        <v>216984.23348326492</v>
      </c>
      <c r="G111" s="1"/>
    </row>
    <row r="112" spans="1:7" x14ac:dyDescent="0.3">
      <c r="A112" s="2">
        <v>697200</v>
      </c>
      <c r="B112" s="2">
        <v>639419.12651673495</v>
      </c>
      <c r="C112">
        <f t="shared" si="2"/>
        <v>57780.873483265052</v>
      </c>
      <c r="F112" s="2">
        <f t="shared" si="3"/>
        <v>57780.873483265052</v>
      </c>
      <c r="G112" s="1"/>
    </row>
    <row r="113" spans="1:7" x14ac:dyDescent="0.3">
      <c r="A113" s="2">
        <v>577500</v>
      </c>
      <c r="B113" s="2">
        <v>488206.77151673514</v>
      </c>
      <c r="C113">
        <f t="shared" si="2"/>
        <v>89293.228483264858</v>
      </c>
      <c r="F113" s="2">
        <f t="shared" si="3"/>
        <v>89293.228483264858</v>
      </c>
      <c r="G113" s="1"/>
    </row>
    <row r="114" spans="1:7" x14ac:dyDescent="0.3">
      <c r="A114" s="2">
        <v>556500</v>
      </c>
      <c r="B114" s="2">
        <v>511867.03151673515</v>
      </c>
      <c r="C114">
        <f t="shared" si="2"/>
        <v>44632.968483264849</v>
      </c>
      <c r="F114" s="2">
        <f t="shared" si="3"/>
        <v>44632.968483264849</v>
      </c>
      <c r="G114" s="1"/>
    </row>
    <row r="115" spans="1:7" x14ac:dyDescent="0.3">
      <c r="A115" s="2">
        <v>390600</v>
      </c>
      <c r="B115" s="2">
        <v>447205.55151673517</v>
      </c>
      <c r="C115">
        <f t="shared" si="2"/>
        <v>-56605.55151673517</v>
      </c>
      <c r="F115" s="2">
        <f t="shared" si="3"/>
        <v>56605.55151673517</v>
      </c>
      <c r="G115" s="1"/>
    </row>
    <row r="116" spans="1:7" x14ac:dyDescent="0.3">
      <c r="A116" s="2">
        <v>405300</v>
      </c>
      <c r="B116" s="2">
        <v>393520.44151673495</v>
      </c>
      <c r="C116">
        <f t="shared" si="2"/>
        <v>11779.558483265049</v>
      </c>
      <c r="F116" s="2">
        <f t="shared" si="3"/>
        <v>11779.558483265049</v>
      </c>
      <c r="G116" s="1"/>
    </row>
    <row r="117" spans="1:7" x14ac:dyDescent="0.3">
      <c r="A117" s="2">
        <v>422100</v>
      </c>
      <c r="B117" s="2">
        <v>408159.78151673492</v>
      </c>
      <c r="C117">
        <f t="shared" si="2"/>
        <v>13940.218483265082</v>
      </c>
      <c r="F117" s="2">
        <f t="shared" si="3"/>
        <v>13940.218483265082</v>
      </c>
      <c r="G117" s="1"/>
    </row>
    <row r="118" spans="1:7" x14ac:dyDescent="0.3">
      <c r="A118" s="2">
        <v>409500</v>
      </c>
      <c r="B118" s="2">
        <v>335890.38151673501</v>
      </c>
      <c r="C118">
        <f t="shared" si="2"/>
        <v>73609.618483264989</v>
      </c>
      <c r="F118" s="2">
        <f t="shared" si="3"/>
        <v>73609.618483264989</v>
      </c>
      <c r="G118" s="1"/>
    </row>
    <row r="119" spans="1:7" x14ac:dyDescent="0.3">
      <c r="A119" s="2">
        <v>409500</v>
      </c>
      <c r="B119" s="2">
        <v>310832.5965167351</v>
      </c>
      <c r="C119">
        <f t="shared" si="2"/>
        <v>98667.403483264905</v>
      </c>
      <c r="F119" s="2">
        <f t="shared" si="3"/>
        <v>98667.403483264905</v>
      </c>
      <c r="G119" s="1"/>
    </row>
    <row r="120" spans="1:7" x14ac:dyDescent="0.3">
      <c r="A120" s="2">
        <v>428400</v>
      </c>
      <c r="B120" s="2">
        <v>385602.94151673507</v>
      </c>
      <c r="C120">
        <f t="shared" si="2"/>
        <v>42797.058483264933</v>
      </c>
      <c r="F120" s="2">
        <f t="shared" si="3"/>
        <v>42797.058483264933</v>
      </c>
      <c r="G120" s="1"/>
    </row>
    <row r="121" spans="1:7" x14ac:dyDescent="0.3">
      <c r="A121" s="2">
        <v>415800</v>
      </c>
      <c r="B121" s="2">
        <v>435386.17651673505</v>
      </c>
      <c r="C121">
        <f t="shared" si="2"/>
        <v>-19586.176516735053</v>
      </c>
      <c r="F121" s="2">
        <f t="shared" si="3"/>
        <v>19586.176516735053</v>
      </c>
      <c r="G121" s="1"/>
    </row>
    <row r="122" spans="1:7" x14ac:dyDescent="0.3">
      <c r="A122" s="2">
        <v>407400</v>
      </c>
      <c r="B122" s="2">
        <v>378593.03151673503</v>
      </c>
      <c r="C122">
        <f t="shared" si="2"/>
        <v>28806.968483264965</v>
      </c>
      <c r="F122" s="2">
        <f t="shared" si="3"/>
        <v>28806.968483264965</v>
      </c>
      <c r="G122" s="1"/>
    </row>
    <row r="123" spans="1:7" x14ac:dyDescent="0.3">
      <c r="A123" s="2">
        <v>455700</v>
      </c>
      <c r="B123" s="2">
        <v>403314.77151673503</v>
      </c>
      <c r="C123">
        <f t="shared" si="2"/>
        <v>52385.228483264975</v>
      </c>
      <c r="F123" s="2">
        <f t="shared" si="3"/>
        <v>52385.228483264975</v>
      </c>
      <c r="G123" s="1"/>
    </row>
    <row r="124" spans="1:7" x14ac:dyDescent="0.3">
      <c r="A124" s="2">
        <v>478800</v>
      </c>
      <c r="B124" s="2">
        <v>539564.93151673512</v>
      </c>
      <c r="C124">
        <f t="shared" si="2"/>
        <v>-60764.931516735116</v>
      </c>
      <c r="F124" s="2">
        <f t="shared" si="3"/>
        <v>60764.931516735116</v>
      </c>
      <c r="G124" s="1"/>
    </row>
    <row r="125" spans="1:7" x14ac:dyDescent="0.3">
      <c r="A125" s="2">
        <v>394800</v>
      </c>
      <c r="B125" s="2">
        <v>404503.35151673498</v>
      </c>
      <c r="C125">
        <f t="shared" si="2"/>
        <v>-9703.3515167349833</v>
      </c>
      <c r="F125" s="2">
        <f t="shared" si="3"/>
        <v>9703.3515167349833</v>
      </c>
      <c r="G125" s="1"/>
    </row>
    <row r="126" spans="1:7" x14ac:dyDescent="0.3">
      <c r="A126" s="2">
        <v>392700</v>
      </c>
      <c r="B126" s="2">
        <v>410451.36651673488</v>
      </c>
      <c r="C126">
        <f t="shared" si="2"/>
        <v>-17751.366516734881</v>
      </c>
      <c r="F126" s="2">
        <f t="shared" si="3"/>
        <v>17751.366516734881</v>
      </c>
      <c r="G126" s="1"/>
    </row>
    <row r="127" spans="1:7" x14ac:dyDescent="0.3">
      <c r="A127" s="2">
        <v>388500</v>
      </c>
      <c r="B127" s="2">
        <v>496512.25651673489</v>
      </c>
      <c r="C127">
        <f t="shared" si="2"/>
        <v>-108012.25651673489</v>
      </c>
      <c r="F127" s="2">
        <f t="shared" si="3"/>
        <v>108012.25651673489</v>
      </c>
      <c r="G127" s="1"/>
    </row>
    <row r="128" spans="1:7" x14ac:dyDescent="0.3">
      <c r="A128" s="2">
        <v>384300</v>
      </c>
      <c r="B128" s="2">
        <v>410683.87651673501</v>
      </c>
      <c r="C128">
        <f t="shared" si="2"/>
        <v>-26383.876516735007</v>
      </c>
      <c r="F128" s="2">
        <f t="shared" si="3"/>
        <v>26383.876516735007</v>
      </c>
      <c r="G128" s="1"/>
    </row>
    <row r="129" spans="1:7" x14ac:dyDescent="0.3">
      <c r="A129" s="2">
        <v>445200</v>
      </c>
      <c r="B129" s="2">
        <v>472510.27651673515</v>
      </c>
      <c r="C129">
        <f t="shared" si="2"/>
        <v>-27310.276516735146</v>
      </c>
      <c r="F129" s="2">
        <f t="shared" si="3"/>
        <v>27310.276516735146</v>
      </c>
      <c r="G129" s="1"/>
    </row>
    <row r="130" spans="1:7" x14ac:dyDescent="0.3">
      <c r="A130" s="2">
        <v>403200</v>
      </c>
      <c r="B130" s="2">
        <v>477969.96151673497</v>
      </c>
      <c r="C130">
        <f t="shared" si="2"/>
        <v>-74769.961516734969</v>
      </c>
      <c r="F130" s="2">
        <f t="shared" si="3"/>
        <v>74769.961516734969</v>
      </c>
      <c r="G130" s="1"/>
    </row>
    <row r="131" spans="1:7" x14ac:dyDescent="0.3">
      <c r="A131" s="2">
        <v>428400</v>
      </c>
      <c r="B131" s="2">
        <v>410067.34651673498</v>
      </c>
      <c r="C131">
        <f t="shared" si="2"/>
        <v>18332.653483265021</v>
      </c>
      <c r="F131" s="2">
        <f t="shared" si="3"/>
        <v>18332.653483265021</v>
      </c>
      <c r="G131" s="1"/>
    </row>
    <row r="132" spans="1:7" x14ac:dyDescent="0.3">
      <c r="A132" s="2">
        <v>405300</v>
      </c>
      <c r="B132" s="2">
        <v>416955.92151673505</v>
      </c>
      <c r="C132">
        <f t="shared" si="2"/>
        <v>-11655.921516735048</v>
      </c>
      <c r="F132" s="2">
        <f t="shared" si="3"/>
        <v>11655.921516735048</v>
      </c>
      <c r="G132" s="1"/>
    </row>
    <row r="133" spans="1:7" x14ac:dyDescent="0.3">
      <c r="A133" s="2">
        <v>462000</v>
      </c>
      <c r="B133" s="2">
        <v>395403.616516735</v>
      </c>
      <c r="C133">
        <f t="shared" si="2"/>
        <v>66596.383483265003</v>
      </c>
      <c r="F133" s="2">
        <f t="shared" si="3"/>
        <v>66596.383483265003</v>
      </c>
      <c r="G133" s="1"/>
    </row>
    <row r="134" spans="1:7" x14ac:dyDescent="0.3">
      <c r="A134" s="2">
        <v>426300</v>
      </c>
      <c r="B134" s="2">
        <v>408088.22651673498</v>
      </c>
      <c r="C134">
        <f t="shared" si="2"/>
        <v>18211.773483265017</v>
      </c>
      <c r="F134" s="2">
        <f t="shared" si="3"/>
        <v>18211.773483265017</v>
      </c>
      <c r="G134" s="1"/>
    </row>
    <row r="135" spans="1:7" x14ac:dyDescent="0.3">
      <c r="A135" s="2">
        <v>430500</v>
      </c>
      <c r="B135" s="2">
        <v>364658.59151673497</v>
      </c>
      <c r="C135">
        <f t="shared" si="2"/>
        <v>65841.408483265026</v>
      </c>
      <c r="F135" s="2">
        <f t="shared" si="3"/>
        <v>65841.408483265026</v>
      </c>
      <c r="G135" s="1"/>
    </row>
    <row r="136" spans="1:7" x14ac:dyDescent="0.3">
      <c r="A136" s="2">
        <v>363300</v>
      </c>
      <c r="B136" s="2">
        <v>274418.746516735</v>
      </c>
      <c r="C136">
        <f t="shared" si="2"/>
        <v>88881.253483264998</v>
      </c>
      <c r="F136" s="2">
        <f t="shared" si="3"/>
        <v>88881.253483264998</v>
      </c>
      <c r="G136" s="1"/>
    </row>
    <row r="137" spans="1:7" x14ac:dyDescent="0.3">
      <c r="A137" s="2">
        <v>394800</v>
      </c>
      <c r="B137" s="2">
        <v>361357.41151673504</v>
      </c>
      <c r="C137">
        <f t="shared" si="2"/>
        <v>33442.588483264961</v>
      </c>
      <c r="F137" s="2">
        <f t="shared" si="3"/>
        <v>33442.588483264961</v>
      </c>
      <c r="G137" s="1"/>
    </row>
    <row r="138" spans="1:7" x14ac:dyDescent="0.3">
      <c r="A138" s="2">
        <v>449400</v>
      </c>
      <c r="B138" s="2">
        <v>400671.5965167351</v>
      </c>
      <c r="C138">
        <f t="shared" si="2"/>
        <v>48728.403483264905</v>
      </c>
      <c r="F138" s="2">
        <f t="shared" si="3"/>
        <v>48728.403483264905</v>
      </c>
      <c r="G138" s="1"/>
    </row>
    <row r="139" spans="1:7" x14ac:dyDescent="0.3">
      <c r="A139" s="2">
        <v>329700</v>
      </c>
      <c r="B139" s="2">
        <v>233312.80151673505</v>
      </c>
      <c r="C139">
        <f t="shared" si="2"/>
        <v>96387.198483264947</v>
      </c>
      <c r="F139" s="2">
        <f t="shared" si="3"/>
        <v>96387.198483264947</v>
      </c>
      <c r="G139" s="1"/>
    </row>
    <row r="140" spans="1:7" x14ac:dyDescent="0.3">
      <c r="A140" s="2">
        <v>340200</v>
      </c>
      <c r="B140" s="2">
        <v>308554.23151673499</v>
      </c>
      <c r="C140">
        <f t="shared" si="2"/>
        <v>31645.768483265012</v>
      </c>
      <c r="F140" s="2">
        <f t="shared" si="3"/>
        <v>31645.768483265012</v>
      </c>
      <c r="G140" s="1"/>
    </row>
    <row r="141" spans="1:7" x14ac:dyDescent="0.3">
      <c r="A141" s="2">
        <v>378000</v>
      </c>
      <c r="B141" s="2">
        <v>391967.40151673515</v>
      </c>
      <c r="C141">
        <f t="shared" si="2"/>
        <v>-13967.401516735146</v>
      </c>
      <c r="F141" s="2">
        <f t="shared" si="3"/>
        <v>13967.401516735146</v>
      </c>
      <c r="G141" s="1"/>
    </row>
    <row r="142" spans="1:7" x14ac:dyDescent="0.3">
      <c r="A142" s="2">
        <v>300300</v>
      </c>
      <c r="B142" s="2">
        <v>291230.241516735</v>
      </c>
      <c r="C142">
        <f t="shared" ref="C142:C205" si="4">A142-B142</f>
        <v>9069.7584832650027</v>
      </c>
      <c r="F142" s="2">
        <f t="shared" ref="F142:F205" si="5">ABS(C142)</f>
        <v>9069.7584832650027</v>
      </c>
      <c r="G142" s="1"/>
    </row>
    <row r="143" spans="1:7" x14ac:dyDescent="0.3">
      <c r="A143" s="2">
        <v>403200</v>
      </c>
      <c r="B143" s="2">
        <v>424573.366516735</v>
      </c>
      <c r="C143">
        <f t="shared" si="4"/>
        <v>-21373.366516734997</v>
      </c>
      <c r="F143" s="2">
        <f t="shared" si="5"/>
        <v>21373.366516734997</v>
      </c>
      <c r="G143" s="1"/>
    </row>
    <row r="144" spans="1:7" x14ac:dyDescent="0.3">
      <c r="A144" s="2">
        <v>411600</v>
      </c>
      <c r="B144" s="2">
        <v>416835.44651673496</v>
      </c>
      <c r="C144">
        <f t="shared" si="4"/>
        <v>-5235.4465167349554</v>
      </c>
      <c r="F144" s="2">
        <f t="shared" si="5"/>
        <v>5235.4465167349554</v>
      </c>
      <c r="G144" s="1"/>
    </row>
    <row r="145" spans="1:7" x14ac:dyDescent="0.3">
      <c r="A145" s="2">
        <v>483000</v>
      </c>
      <c r="B145" s="2">
        <v>433185.29651673493</v>
      </c>
      <c r="C145">
        <f t="shared" si="4"/>
        <v>49814.703483265068</v>
      </c>
      <c r="F145" s="2">
        <f t="shared" si="5"/>
        <v>49814.703483265068</v>
      </c>
      <c r="G145" s="1"/>
    </row>
    <row r="146" spans="1:7" x14ac:dyDescent="0.3">
      <c r="A146" s="2">
        <v>386400</v>
      </c>
      <c r="B146" s="2">
        <v>343154.95651673508</v>
      </c>
      <c r="C146">
        <f t="shared" si="4"/>
        <v>43245.043483264919</v>
      </c>
      <c r="F146" s="2">
        <f t="shared" si="5"/>
        <v>43245.043483264919</v>
      </c>
      <c r="G146" s="1"/>
    </row>
    <row r="147" spans="1:7" x14ac:dyDescent="0.3">
      <c r="A147" s="2">
        <v>327600</v>
      </c>
      <c r="B147" s="2">
        <v>312792.51151673513</v>
      </c>
      <c r="C147">
        <f t="shared" si="4"/>
        <v>14807.488483264868</v>
      </c>
      <c r="F147" s="2">
        <f t="shared" si="5"/>
        <v>14807.488483264868</v>
      </c>
      <c r="G147" s="1"/>
    </row>
    <row r="148" spans="1:7" x14ac:dyDescent="0.3">
      <c r="A148" s="2">
        <v>380100</v>
      </c>
      <c r="B148" s="2">
        <v>366624.2315167351</v>
      </c>
      <c r="C148">
        <f t="shared" si="4"/>
        <v>13475.768483264896</v>
      </c>
      <c r="F148" s="2">
        <f t="shared" si="5"/>
        <v>13475.768483264896</v>
      </c>
      <c r="G148" s="1"/>
    </row>
    <row r="149" spans="1:7" x14ac:dyDescent="0.3">
      <c r="A149" s="2">
        <v>365400</v>
      </c>
      <c r="B149" s="2">
        <v>333255.12651673512</v>
      </c>
      <c r="C149">
        <f t="shared" si="4"/>
        <v>32144.873483264877</v>
      </c>
      <c r="F149" s="2">
        <f t="shared" si="5"/>
        <v>32144.873483264877</v>
      </c>
      <c r="G149" s="1"/>
    </row>
    <row r="150" spans="1:7" x14ac:dyDescent="0.3">
      <c r="A150" s="2">
        <v>359100</v>
      </c>
      <c r="B150" s="2">
        <v>402637.59651673498</v>
      </c>
      <c r="C150">
        <f t="shared" si="4"/>
        <v>-43537.596516734979</v>
      </c>
      <c r="F150" s="2">
        <f t="shared" si="5"/>
        <v>43537.596516734979</v>
      </c>
      <c r="G150" s="1"/>
    </row>
    <row r="151" spans="1:7" x14ac:dyDescent="0.3">
      <c r="A151" s="2">
        <v>279300</v>
      </c>
      <c r="B151" s="2">
        <v>277944.52151673514</v>
      </c>
      <c r="C151">
        <f t="shared" si="4"/>
        <v>1355.4784832648584</v>
      </c>
      <c r="F151" s="2">
        <f t="shared" si="5"/>
        <v>1355.4784832648584</v>
      </c>
      <c r="G151" s="1"/>
    </row>
    <row r="152" spans="1:7" x14ac:dyDescent="0.3">
      <c r="A152" s="2">
        <v>373800</v>
      </c>
      <c r="B152" s="2">
        <v>334422.77151673491</v>
      </c>
      <c r="C152">
        <f t="shared" si="4"/>
        <v>39377.228483265091</v>
      </c>
      <c r="F152" s="2">
        <f t="shared" si="5"/>
        <v>39377.228483265091</v>
      </c>
      <c r="G152" s="1"/>
    </row>
    <row r="153" spans="1:7" x14ac:dyDescent="0.3">
      <c r="A153" s="2">
        <v>294000</v>
      </c>
      <c r="B153" s="2">
        <v>274574.46651673509</v>
      </c>
      <c r="C153">
        <f t="shared" si="4"/>
        <v>19425.53348326491</v>
      </c>
      <c r="F153" s="2">
        <f t="shared" si="5"/>
        <v>19425.53348326491</v>
      </c>
      <c r="G153" s="1"/>
    </row>
    <row r="154" spans="1:7" x14ac:dyDescent="0.3">
      <c r="A154" s="2">
        <v>302400</v>
      </c>
      <c r="B154" s="2">
        <v>63389.641516735137</v>
      </c>
      <c r="C154">
        <f t="shared" si="4"/>
        <v>239010.35848326486</v>
      </c>
      <c r="F154" s="2">
        <f t="shared" si="5"/>
        <v>239010.35848326486</v>
      </c>
      <c r="G154" s="1"/>
    </row>
    <row r="155" spans="1:7" x14ac:dyDescent="0.3">
      <c r="A155" s="2">
        <v>281400</v>
      </c>
      <c r="B155" s="2">
        <v>305672.51151673513</v>
      </c>
      <c r="C155">
        <f t="shared" si="4"/>
        <v>-24272.511516735132</v>
      </c>
      <c r="F155" s="2">
        <f t="shared" si="5"/>
        <v>24272.511516735132</v>
      </c>
      <c r="G155" s="1"/>
    </row>
    <row r="156" spans="1:7" x14ac:dyDescent="0.3">
      <c r="A156" s="2">
        <v>327600</v>
      </c>
      <c r="B156" s="2">
        <v>315638.83651673509</v>
      </c>
      <c r="C156">
        <f t="shared" si="4"/>
        <v>11961.163483264914</v>
      </c>
      <c r="F156" s="2">
        <f t="shared" si="5"/>
        <v>11961.163483264914</v>
      </c>
      <c r="G156" s="1"/>
    </row>
    <row r="157" spans="1:7" x14ac:dyDescent="0.3">
      <c r="A157" s="2">
        <v>247800</v>
      </c>
      <c r="B157" s="2">
        <v>235592.9815167351</v>
      </c>
      <c r="C157">
        <f t="shared" si="4"/>
        <v>12207.018483264896</v>
      </c>
      <c r="F157" s="2">
        <f t="shared" si="5"/>
        <v>12207.018483264896</v>
      </c>
      <c r="G157" s="1"/>
    </row>
    <row r="158" spans="1:7" x14ac:dyDescent="0.3">
      <c r="A158" s="2">
        <v>289800</v>
      </c>
      <c r="B158" s="2">
        <v>357973.246516735</v>
      </c>
      <c r="C158">
        <f t="shared" si="4"/>
        <v>-68173.246516735002</v>
      </c>
      <c r="F158" s="2">
        <f t="shared" si="5"/>
        <v>68173.246516735002</v>
      </c>
      <c r="G158" s="1"/>
    </row>
    <row r="159" spans="1:7" x14ac:dyDescent="0.3">
      <c r="A159" s="2">
        <v>327600</v>
      </c>
      <c r="B159" s="2">
        <v>435483.96651673509</v>
      </c>
      <c r="C159">
        <f t="shared" si="4"/>
        <v>-107883.96651673509</v>
      </c>
      <c r="F159" s="2">
        <f t="shared" si="5"/>
        <v>107883.96651673509</v>
      </c>
      <c r="G159" s="1"/>
    </row>
    <row r="160" spans="1:7" x14ac:dyDescent="0.3">
      <c r="A160" s="2">
        <v>306600</v>
      </c>
      <c r="B160" s="2">
        <v>234980.21651673503</v>
      </c>
      <c r="C160">
        <f t="shared" si="4"/>
        <v>71619.783483264968</v>
      </c>
      <c r="F160" s="2">
        <f t="shared" si="5"/>
        <v>71619.783483264968</v>
      </c>
      <c r="G160" s="1"/>
    </row>
    <row r="161" spans="1:7" x14ac:dyDescent="0.3">
      <c r="A161" s="2">
        <v>373800</v>
      </c>
      <c r="B161" s="2">
        <v>270614.40651673515</v>
      </c>
      <c r="C161">
        <f t="shared" si="4"/>
        <v>103185.59348326485</v>
      </c>
      <c r="F161" s="2">
        <f t="shared" si="5"/>
        <v>103185.59348326485</v>
      </c>
      <c r="G161" s="1"/>
    </row>
    <row r="162" spans="1:7" x14ac:dyDescent="0.3">
      <c r="A162" s="2">
        <v>323400</v>
      </c>
      <c r="B162" s="2">
        <v>380725.25151673512</v>
      </c>
      <c r="C162">
        <f t="shared" si="4"/>
        <v>-57325.251516735123</v>
      </c>
      <c r="F162" s="2">
        <f t="shared" si="5"/>
        <v>57325.251516735123</v>
      </c>
      <c r="G162" s="1"/>
    </row>
    <row r="163" spans="1:7" x14ac:dyDescent="0.3">
      <c r="A163" s="2">
        <v>451500</v>
      </c>
      <c r="B163" s="2">
        <v>505912.02651673491</v>
      </c>
      <c r="C163">
        <f t="shared" si="4"/>
        <v>-54412.026516734913</v>
      </c>
      <c r="F163" s="2">
        <f t="shared" si="5"/>
        <v>54412.026516734913</v>
      </c>
      <c r="G163" s="1"/>
    </row>
    <row r="164" spans="1:7" x14ac:dyDescent="0.3">
      <c r="A164" s="2">
        <v>411600</v>
      </c>
      <c r="B164" s="2">
        <v>452654.53651673504</v>
      </c>
      <c r="C164">
        <f t="shared" si="4"/>
        <v>-41054.536516735039</v>
      </c>
      <c r="F164" s="2">
        <f t="shared" si="5"/>
        <v>41054.536516735039</v>
      </c>
      <c r="G164" s="1"/>
    </row>
    <row r="165" spans="1:7" x14ac:dyDescent="0.3">
      <c r="A165" s="2">
        <v>321300</v>
      </c>
      <c r="B165" s="2">
        <v>431305.89651673503</v>
      </c>
      <c r="C165">
        <f t="shared" si="4"/>
        <v>-110005.89651673503</v>
      </c>
      <c r="F165" s="2">
        <f t="shared" si="5"/>
        <v>110005.89651673503</v>
      </c>
      <c r="G165" s="1"/>
    </row>
    <row r="166" spans="1:7" x14ac:dyDescent="0.3">
      <c r="A166" s="2">
        <v>407400</v>
      </c>
      <c r="B166" s="2">
        <v>451825.871516735</v>
      </c>
      <c r="C166">
        <f t="shared" si="4"/>
        <v>-44425.871516735002</v>
      </c>
      <c r="F166" s="2">
        <f t="shared" si="5"/>
        <v>44425.871516735002</v>
      </c>
      <c r="G166" s="1"/>
    </row>
    <row r="167" spans="1:7" x14ac:dyDescent="0.3">
      <c r="A167" s="2">
        <v>357000</v>
      </c>
      <c r="B167" s="2">
        <v>495452.00151673501</v>
      </c>
      <c r="C167">
        <f t="shared" si="4"/>
        <v>-138452.00151673501</v>
      </c>
      <c r="F167" s="2">
        <f t="shared" si="5"/>
        <v>138452.00151673501</v>
      </c>
      <c r="G167" s="1"/>
    </row>
    <row r="168" spans="1:7" x14ac:dyDescent="0.3">
      <c r="A168" s="2">
        <v>327600</v>
      </c>
      <c r="B168" s="2">
        <v>498527.89651673514</v>
      </c>
      <c r="C168">
        <f t="shared" si="4"/>
        <v>-170927.89651673514</v>
      </c>
      <c r="F168" s="2">
        <f t="shared" si="5"/>
        <v>170927.89651673514</v>
      </c>
      <c r="G168" s="1"/>
    </row>
    <row r="169" spans="1:7" x14ac:dyDescent="0.3">
      <c r="A169" s="2">
        <v>275100</v>
      </c>
      <c r="B169" s="2">
        <v>410199.81651673507</v>
      </c>
      <c r="C169">
        <f t="shared" si="4"/>
        <v>-135099.81651673507</v>
      </c>
      <c r="F169" s="2">
        <f t="shared" si="5"/>
        <v>135099.81651673507</v>
      </c>
      <c r="G169" s="1"/>
    </row>
    <row r="170" spans="1:7" x14ac:dyDescent="0.3">
      <c r="A170" s="2">
        <v>867300</v>
      </c>
      <c r="B170" s="2">
        <v>680155.88151673484</v>
      </c>
      <c r="C170">
        <f t="shared" si="4"/>
        <v>187144.11848326516</v>
      </c>
      <c r="F170" s="2">
        <f t="shared" si="5"/>
        <v>187144.11848326516</v>
      </c>
      <c r="G170" s="1"/>
    </row>
    <row r="171" spans="1:7" x14ac:dyDescent="0.3">
      <c r="A171" s="2">
        <v>510300</v>
      </c>
      <c r="B171" s="2">
        <v>584276.21651673503</v>
      </c>
      <c r="C171">
        <f t="shared" si="4"/>
        <v>-73976.216516735032</v>
      </c>
      <c r="F171" s="2">
        <f t="shared" si="5"/>
        <v>73976.216516735032</v>
      </c>
      <c r="G171" s="1"/>
    </row>
    <row r="172" spans="1:7" x14ac:dyDescent="0.3">
      <c r="A172" s="2">
        <v>489300</v>
      </c>
      <c r="B172" s="2">
        <v>612296.0365167351</v>
      </c>
      <c r="C172">
        <f t="shared" si="4"/>
        <v>-122996.0365167351</v>
      </c>
      <c r="F172" s="2">
        <f t="shared" si="5"/>
        <v>122996.0365167351</v>
      </c>
      <c r="G172" s="1"/>
    </row>
    <row r="173" spans="1:7" x14ac:dyDescent="0.3">
      <c r="A173" s="2">
        <v>567000</v>
      </c>
      <c r="B173" s="2">
        <v>610293.74651673506</v>
      </c>
      <c r="C173">
        <f t="shared" si="4"/>
        <v>-43293.74651673506</v>
      </c>
      <c r="F173" s="2">
        <f t="shared" si="5"/>
        <v>43293.74651673506</v>
      </c>
      <c r="G173" s="1"/>
    </row>
    <row r="174" spans="1:7" x14ac:dyDescent="0.3">
      <c r="A174" s="2">
        <v>476700</v>
      </c>
      <c r="B174" s="2">
        <v>509401.14651673503</v>
      </c>
      <c r="C174">
        <f t="shared" si="4"/>
        <v>-32701.146516735025</v>
      </c>
      <c r="F174" s="2">
        <f t="shared" si="5"/>
        <v>32701.146516735025</v>
      </c>
      <c r="G174" s="1"/>
    </row>
    <row r="175" spans="1:7" x14ac:dyDescent="0.3">
      <c r="A175" s="2">
        <v>525000</v>
      </c>
      <c r="B175" s="2">
        <v>550636.37151673506</v>
      </c>
      <c r="C175">
        <f t="shared" si="4"/>
        <v>-25636.37151673506</v>
      </c>
      <c r="F175" s="2">
        <f t="shared" si="5"/>
        <v>25636.37151673506</v>
      </c>
      <c r="G175" s="1"/>
    </row>
    <row r="176" spans="1:7" x14ac:dyDescent="0.3">
      <c r="A176" s="2">
        <v>499800</v>
      </c>
      <c r="B176" s="2">
        <v>505967.64151673514</v>
      </c>
      <c r="C176">
        <f t="shared" si="4"/>
        <v>-6167.641516735137</v>
      </c>
      <c r="F176" s="2">
        <f t="shared" si="5"/>
        <v>6167.641516735137</v>
      </c>
      <c r="G176" s="1"/>
    </row>
    <row r="177" spans="1:7" x14ac:dyDescent="0.3">
      <c r="A177" s="2">
        <v>499800</v>
      </c>
      <c r="B177" s="2">
        <v>555512.33151673502</v>
      </c>
      <c r="C177">
        <f t="shared" si="4"/>
        <v>-55712.331516735023</v>
      </c>
      <c r="F177" s="2">
        <f t="shared" si="5"/>
        <v>55712.331516735023</v>
      </c>
      <c r="G177" s="1"/>
    </row>
    <row r="178" spans="1:7" x14ac:dyDescent="0.3">
      <c r="A178" s="2">
        <v>468300</v>
      </c>
      <c r="B178" s="2">
        <v>560310.44651673501</v>
      </c>
      <c r="C178">
        <f t="shared" si="4"/>
        <v>-92010.446516735014</v>
      </c>
      <c r="F178" s="2">
        <f t="shared" si="5"/>
        <v>92010.446516735014</v>
      </c>
      <c r="G178" s="1"/>
    </row>
    <row r="179" spans="1:7" x14ac:dyDescent="0.3">
      <c r="A179" s="2">
        <v>365400</v>
      </c>
      <c r="B179" s="2">
        <v>480950.30151673494</v>
      </c>
      <c r="C179">
        <f t="shared" si="4"/>
        <v>-115550.30151673494</v>
      </c>
      <c r="F179" s="2">
        <f t="shared" si="5"/>
        <v>115550.30151673494</v>
      </c>
      <c r="G179" s="1"/>
    </row>
    <row r="180" spans="1:7" x14ac:dyDescent="0.3">
      <c r="A180" s="2">
        <v>401100</v>
      </c>
      <c r="B180" s="2">
        <v>507420.7265167351</v>
      </c>
      <c r="C180">
        <f t="shared" si="4"/>
        <v>-106320.7265167351</v>
      </c>
      <c r="F180" s="2">
        <f t="shared" si="5"/>
        <v>106320.7265167351</v>
      </c>
      <c r="G180" s="1"/>
    </row>
    <row r="181" spans="1:7" x14ac:dyDescent="0.3">
      <c r="A181" s="2">
        <v>485100</v>
      </c>
      <c r="B181" s="2">
        <v>414865.56651673507</v>
      </c>
      <c r="C181">
        <f t="shared" si="4"/>
        <v>70234.433483264933</v>
      </c>
      <c r="F181" s="2">
        <f t="shared" si="5"/>
        <v>70234.433483264933</v>
      </c>
      <c r="G181" s="1"/>
    </row>
    <row r="182" spans="1:7" x14ac:dyDescent="0.3">
      <c r="A182" s="2">
        <v>495600</v>
      </c>
      <c r="B182" s="2">
        <v>549223.27651673509</v>
      </c>
      <c r="C182">
        <f t="shared" si="4"/>
        <v>-53623.276516735088</v>
      </c>
      <c r="F182" s="2">
        <f t="shared" si="5"/>
        <v>53623.276516735088</v>
      </c>
      <c r="G182" s="1"/>
    </row>
    <row r="183" spans="1:7" x14ac:dyDescent="0.3">
      <c r="A183" s="2">
        <v>474600</v>
      </c>
      <c r="B183" s="2">
        <v>494497.17151673505</v>
      </c>
      <c r="C183">
        <f t="shared" si="4"/>
        <v>-19897.171516735048</v>
      </c>
      <c r="F183" s="2">
        <f t="shared" si="5"/>
        <v>19897.171516735048</v>
      </c>
      <c r="G183" s="1"/>
    </row>
    <row r="184" spans="1:7" x14ac:dyDescent="0.3">
      <c r="A184" s="2">
        <v>617400</v>
      </c>
      <c r="B184" s="2">
        <v>600726.51651673485</v>
      </c>
      <c r="C184">
        <f t="shared" si="4"/>
        <v>16673.483483265154</v>
      </c>
      <c r="F184" s="2">
        <f t="shared" si="5"/>
        <v>16673.483483265154</v>
      </c>
      <c r="G184" s="1"/>
    </row>
    <row r="185" spans="1:7" x14ac:dyDescent="0.3">
      <c r="A185" s="2">
        <v>487200</v>
      </c>
      <c r="B185" s="2">
        <v>503335.10651673499</v>
      </c>
      <c r="C185">
        <f t="shared" si="4"/>
        <v>-16135.106516734988</v>
      </c>
      <c r="F185" s="2">
        <f t="shared" si="5"/>
        <v>16135.106516734988</v>
      </c>
      <c r="G185" s="1"/>
    </row>
    <row r="186" spans="1:7" x14ac:dyDescent="0.3">
      <c r="A186" s="2">
        <v>516600</v>
      </c>
      <c r="B186" s="2">
        <v>570314.96151673514</v>
      </c>
      <c r="C186">
        <f t="shared" si="4"/>
        <v>-53714.961516735144</v>
      </c>
      <c r="F186" s="2">
        <f t="shared" si="5"/>
        <v>53714.961516735144</v>
      </c>
      <c r="G186" s="1"/>
    </row>
    <row r="187" spans="1:7" x14ac:dyDescent="0.3">
      <c r="A187" s="2">
        <v>627900</v>
      </c>
      <c r="B187" s="2">
        <v>610658.01651673508</v>
      </c>
      <c r="C187">
        <f t="shared" si="4"/>
        <v>17241.983483264921</v>
      </c>
      <c r="F187" s="2">
        <f t="shared" si="5"/>
        <v>17241.983483264921</v>
      </c>
      <c r="G187" s="1"/>
    </row>
    <row r="188" spans="1:7" x14ac:dyDescent="0.3">
      <c r="A188" s="2">
        <v>781200</v>
      </c>
      <c r="B188" s="2">
        <v>618051.5365167351</v>
      </c>
      <c r="C188">
        <f t="shared" si="4"/>
        <v>163148.4634832649</v>
      </c>
      <c r="F188" s="2">
        <f t="shared" si="5"/>
        <v>163148.4634832649</v>
      </c>
      <c r="G188" s="1"/>
    </row>
    <row r="189" spans="1:7" x14ac:dyDescent="0.3">
      <c r="A189" s="2">
        <v>835800</v>
      </c>
      <c r="B189" s="2">
        <v>658665.58151673502</v>
      </c>
      <c r="C189">
        <f t="shared" si="4"/>
        <v>177134.41848326498</v>
      </c>
      <c r="F189" s="2">
        <f t="shared" si="5"/>
        <v>177134.41848326498</v>
      </c>
      <c r="G189" s="1"/>
    </row>
    <row r="190" spans="1:7" x14ac:dyDescent="0.3">
      <c r="A190" s="2">
        <v>760200</v>
      </c>
      <c r="B190" s="2">
        <v>497839.10651673499</v>
      </c>
      <c r="C190">
        <f t="shared" si="4"/>
        <v>262360.89348326501</v>
      </c>
      <c r="F190" s="2">
        <f t="shared" si="5"/>
        <v>262360.89348326501</v>
      </c>
      <c r="G190" s="1"/>
    </row>
    <row r="191" spans="1:7" x14ac:dyDescent="0.3">
      <c r="A191" s="2">
        <v>795900</v>
      </c>
      <c r="B191" s="2">
        <v>635587.19151673513</v>
      </c>
      <c r="C191">
        <f t="shared" si="4"/>
        <v>160312.80848326487</v>
      </c>
      <c r="F191" s="2">
        <f t="shared" si="5"/>
        <v>160312.80848326487</v>
      </c>
      <c r="G191" s="1"/>
    </row>
    <row r="192" spans="1:7" x14ac:dyDescent="0.3">
      <c r="A192" s="2">
        <v>682500</v>
      </c>
      <c r="B192" s="2">
        <v>575010.57151673501</v>
      </c>
      <c r="C192">
        <f t="shared" si="4"/>
        <v>107489.42848326499</v>
      </c>
      <c r="F192" s="2">
        <f t="shared" si="5"/>
        <v>107489.42848326499</v>
      </c>
      <c r="G192" s="1"/>
    </row>
    <row r="193" spans="1:7" x14ac:dyDescent="0.3">
      <c r="A193" s="2">
        <v>554400</v>
      </c>
      <c r="B193" s="2">
        <v>401948.03651673492</v>
      </c>
      <c r="C193">
        <f t="shared" si="4"/>
        <v>152451.96348326508</v>
      </c>
      <c r="F193" s="2">
        <f t="shared" si="5"/>
        <v>152451.96348326508</v>
      </c>
      <c r="G193" s="1"/>
    </row>
    <row r="194" spans="1:7" x14ac:dyDescent="0.3">
      <c r="A194" s="2">
        <v>621600</v>
      </c>
      <c r="B194" s="2">
        <v>458476.89151673502</v>
      </c>
      <c r="C194">
        <f t="shared" si="4"/>
        <v>163123.10848326498</v>
      </c>
      <c r="F194" s="2">
        <f t="shared" si="5"/>
        <v>163123.10848326498</v>
      </c>
      <c r="G194" s="1"/>
    </row>
    <row r="195" spans="1:7" x14ac:dyDescent="0.3">
      <c r="A195" s="2">
        <v>672000</v>
      </c>
      <c r="B195" s="2">
        <v>633798.50651673507</v>
      </c>
      <c r="C195">
        <f t="shared" si="4"/>
        <v>38201.493483264931</v>
      </c>
      <c r="F195" s="2">
        <f t="shared" si="5"/>
        <v>38201.493483264931</v>
      </c>
      <c r="G195" s="1"/>
    </row>
    <row r="196" spans="1:7" x14ac:dyDescent="0.3">
      <c r="A196" s="2">
        <v>625800</v>
      </c>
      <c r="B196" s="2">
        <v>637234.69651673525</v>
      </c>
      <c r="C196">
        <f t="shared" si="4"/>
        <v>-11434.696516735246</v>
      </c>
      <c r="F196" s="2">
        <f t="shared" si="5"/>
        <v>11434.696516735246</v>
      </c>
      <c r="G196" s="1"/>
    </row>
    <row r="197" spans="1:7" x14ac:dyDescent="0.3">
      <c r="A197" s="2">
        <v>732900</v>
      </c>
      <c r="B197" s="2">
        <v>682679.4115167351</v>
      </c>
      <c r="C197">
        <f t="shared" si="4"/>
        <v>50220.588483264903</v>
      </c>
      <c r="F197" s="2">
        <f t="shared" si="5"/>
        <v>50220.588483264903</v>
      </c>
      <c r="G197" s="1"/>
    </row>
    <row r="198" spans="1:7" x14ac:dyDescent="0.3">
      <c r="A198" s="2">
        <v>777000</v>
      </c>
      <c r="B198" s="2">
        <v>665569.41151673486</v>
      </c>
      <c r="C198">
        <f t="shared" si="4"/>
        <v>111430.58848326514</v>
      </c>
      <c r="F198" s="2">
        <f t="shared" si="5"/>
        <v>111430.58848326514</v>
      </c>
      <c r="G198" s="1"/>
    </row>
    <row r="199" spans="1:7" x14ac:dyDescent="0.3">
      <c r="A199" s="2">
        <v>640500</v>
      </c>
      <c r="B199" s="2">
        <v>651665.72151673515</v>
      </c>
      <c r="C199">
        <f t="shared" si="4"/>
        <v>-11165.721516735153</v>
      </c>
      <c r="F199" s="2">
        <f t="shared" si="5"/>
        <v>11165.721516735153</v>
      </c>
      <c r="G199" s="1"/>
    </row>
    <row r="200" spans="1:7" x14ac:dyDescent="0.3">
      <c r="A200" s="2">
        <v>764400</v>
      </c>
      <c r="B200" s="2">
        <v>709412.936516735</v>
      </c>
      <c r="C200">
        <f t="shared" si="4"/>
        <v>54987.063483264996</v>
      </c>
      <c r="F200" s="2">
        <f t="shared" si="5"/>
        <v>54987.063483264996</v>
      </c>
      <c r="G200" s="1"/>
    </row>
    <row r="201" spans="1:7" x14ac:dyDescent="0.3">
      <c r="A201" s="2">
        <v>653100</v>
      </c>
      <c r="B201" s="2">
        <v>645460.72651673504</v>
      </c>
      <c r="C201">
        <f t="shared" si="4"/>
        <v>7639.2734832649585</v>
      </c>
      <c r="F201" s="2">
        <f t="shared" si="5"/>
        <v>7639.2734832649585</v>
      </c>
      <c r="G201" s="1"/>
    </row>
    <row r="202" spans="1:7" x14ac:dyDescent="0.3">
      <c r="A202" s="2">
        <v>611100</v>
      </c>
      <c r="B202" s="2">
        <v>635545.83651673491</v>
      </c>
      <c r="C202">
        <f t="shared" si="4"/>
        <v>-24445.836516734911</v>
      </c>
      <c r="F202" s="2">
        <f t="shared" si="5"/>
        <v>24445.836516734911</v>
      </c>
      <c r="G202" s="1"/>
    </row>
    <row r="203" spans="1:7" x14ac:dyDescent="0.3">
      <c r="A203" s="2">
        <v>699300</v>
      </c>
      <c r="B203" s="2">
        <v>756400.431516735</v>
      </c>
      <c r="C203">
        <f t="shared" si="4"/>
        <v>-57100.431516735</v>
      </c>
      <c r="F203" s="2">
        <f t="shared" si="5"/>
        <v>57100.431516735</v>
      </c>
      <c r="G203" s="1"/>
    </row>
    <row r="204" spans="1:7" x14ac:dyDescent="0.3">
      <c r="A204" s="2">
        <v>636300</v>
      </c>
      <c r="B204" s="2">
        <v>691672.76151673507</v>
      </c>
      <c r="C204">
        <f t="shared" si="4"/>
        <v>-55372.761516735074</v>
      </c>
      <c r="F204" s="2">
        <f t="shared" si="5"/>
        <v>55372.761516735074</v>
      </c>
      <c r="G204" s="1"/>
    </row>
    <row r="205" spans="1:7" x14ac:dyDescent="0.3">
      <c r="A205" s="2">
        <v>726600</v>
      </c>
      <c r="B205" s="2">
        <v>727718.62651673506</v>
      </c>
      <c r="C205">
        <f t="shared" si="4"/>
        <v>-1118.6265167350648</v>
      </c>
      <c r="F205" s="2">
        <f t="shared" si="5"/>
        <v>1118.6265167350648</v>
      </c>
      <c r="G205" s="1"/>
    </row>
    <row r="206" spans="1:7" x14ac:dyDescent="0.3">
      <c r="A206" s="2">
        <v>732900</v>
      </c>
      <c r="B206" s="2">
        <v>638419.83151673502</v>
      </c>
      <c r="C206">
        <f t="shared" ref="C206:C269" si="6">A206-B206</f>
        <v>94480.168483264977</v>
      </c>
      <c r="F206" s="2">
        <f t="shared" ref="F206:F269" si="7">ABS(C206)</f>
        <v>94480.168483264977</v>
      </c>
      <c r="G206" s="1"/>
    </row>
    <row r="207" spans="1:7" x14ac:dyDescent="0.3">
      <c r="A207" s="2">
        <v>690900</v>
      </c>
      <c r="B207" s="2">
        <v>653463.62151673506</v>
      </c>
      <c r="C207">
        <f t="shared" si="6"/>
        <v>37436.37848326494</v>
      </c>
      <c r="F207" s="2">
        <f t="shared" si="7"/>
        <v>37436.37848326494</v>
      </c>
      <c r="G207" s="1"/>
    </row>
    <row r="208" spans="1:7" x14ac:dyDescent="0.3">
      <c r="A208" s="2">
        <v>506100</v>
      </c>
      <c r="B208" s="2">
        <v>581737.45651673502</v>
      </c>
      <c r="C208">
        <f t="shared" si="6"/>
        <v>-75637.456516735023</v>
      </c>
      <c r="F208" s="2">
        <f t="shared" si="7"/>
        <v>75637.456516735023</v>
      </c>
      <c r="G208" s="1"/>
    </row>
    <row r="209" spans="1:7" x14ac:dyDescent="0.3">
      <c r="A209" s="2">
        <v>888300</v>
      </c>
      <c r="B209" s="2">
        <v>753951.25651673507</v>
      </c>
      <c r="C209">
        <f t="shared" si="6"/>
        <v>134348.74348326493</v>
      </c>
      <c r="F209" s="2">
        <f t="shared" si="7"/>
        <v>134348.74348326493</v>
      </c>
      <c r="G209" s="1"/>
    </row>
    <row r="210" spans="1:7" x14ac:dyDescent="0.3">
      <c r="A210" s="2">
        <v>1018500</v>
      </c>
      <c r="B210" s="2">
        <v>767392.25151673518</v>
      </c>
      <c r="C210">
        <f t="shared" si="6"/>
        <v>251107.74848326482</v>
      </c>
      <c r="F210" s="2">
        <f t="shared" si="7"/>
        <v>251107.74848326482</v>
      </c>
      <c r="G210" s="1"/>
    </row>
    <row r="211" spans="1:7" x14ac:dyDescent="0.3">
      <c r="A211" s="2">
        <v>474600</v>
      </c>
      <c r="B211" s="2">
        <v>444938.98151673499</v>
      </c>
      <c r="C211">
        <f t="shared" si="6"/>
        <v>29661.018483265012</v>
      </c>
      <c r="F211" s="2">
        <f t="shared" si="7"/>
        <v>29661.018483265012</v>
      </c>
      <c r="G211" s="1"/>
    </row>
    <row r="212" spans="1:7" x14ac:dyDescent="0.3">
      <c r="A212" s="2">
        <v>512400</v>
      </c>
      <c r="B212" s="2">
        <v>481509.85651673487</v>
      </c>
      <c r="C212">
        <f t="shared" si="6"/>
        <v>30890.143483265128</v>
      </c>
      <c r="F212" s="2">
        <f t="shared" si="7"/>
        <v>30890.143483265128</v>
      </c>
      <c r="G212" s="1"/>
    </row>
    <row r="213" spans="1:7" x14ac:dyDescent="0.3">
      <c r="A213" s="2">
        <v>472500</v>
      </c>
      <c r="B213" s="2">
        <v>357585.65151673503</v>
      </c>
      <c r="C213">
        <f t="shared" si="6"/>
        <v>114914.34848326497</v>
      </c>
      <c r="F213" s="2">
        <f t="shared" si="7"/>
        <v>114914.34848326497</v>
      </c>
      <c r="G213" s="1"/>
    </row>
    <row r="214" spans="1:7" x14ac:dyDescent="0.3">
      <c r="A214" s="2">
        <v>512400</v>
      </c>
      <c r="B214" s="2">
        <v>418797.01651673514</v>
      </c>
      <c r="C214">
        <f t="shared" si="6"/>
        <v>93602.983483264863</v>
      </c>
      <c r="F214" s="2">
        <f t="shared" si="7"/>
        <v>93602.983483264863</v>
      </c>
      <c r="G214" s="1"/>
    </row>
    <row r="215" spans="1:7" x14ac:dyDescent="0.3">
      <c r="A215" s="2">
        <v>420000</v>
      </c>
      <c r="B215" s="2">
        <v>265013.14651673503</v>
      </c>
      <c r="C215">
        <f t="shared" si="6"/>
        <v>154986.85348326497</v>
      </c>
      <c r="F215" s="2">
        <f t="shared" si="7"/>
        <v>154986.85348326497</v>
      </c>
      <c r="G215" s="1"/>
    </row>
    <row r="216" spans="1:7" x14ac:dyDescent="0.3">
      <c r="A216" s="2">
        <v>455700</v>
      </c>
      <c r="B216" s="2">
        <v>381478.36651673511</v>
      </c>
      <c r="C216">
        <f t="shared" si="6"/>
        <v>74221.633483264886</v>
      </c>
      <c r="F216" s="2">
        <f t="shared" si="7"/>
        <v>74221.633483264886</v>
      </c>
      <c r="G216" s="1"/>
    </row>
    <row r="217" spans="1:7" x14ac:dyDescent="0.3">
      <c r="A217" s="2">
        <v>405300</v>
      </c>
      <c r="B217" s="2">
        <v>260551.43651673495</v>
      </c>
      <c r="C217">
        <f t="shared" si="6"/>
        <v>144748.56348326505</v>
      </c>
      <c r="F217" s="2">
        <f t="shared" si="7"/>
        <v>144748.56348326505</v>
      </c>
      <c r="G217" s="1"/>
    </row>
    <row r="218" spans="1:7" x14ac:dyDescent="0.3">
      <c r="A218" s="2">
        <v>470400</v>
      </c>
      <c r="B218" s="2">
        <v>381686.68151673506</v>
      </c>
      <c r="C218">
        <f t="shared" si="6"/>
        <v>88713.318483264942</v>
      </c>
      <c r="F218" s="2">
        <f t="shared" si="7"/>
        <v>88713.318483264942</v>
      </c>
      <c r="G218" s="1"/>
    </row>
    <row r="219" spans="1:7" x14ac:dyDescent="0.3">
      <c r="A219" s="2">
        <v>590100</v>
      </c>
      <c r="B219" s="2">
        <v>503001.45151673496</v>
      </c>
      <c r="C219">
        <f t="shared" si="6"/>
        <v>87098.54848326504</v>
      </c>
      <c r="F219" s="2">
        <f t="shared" si="7"/>
        <v>87098.54848326504</v>
      </c>
      <c r="G219" s="1"/>
    </row>
    <row r="220" spans="1:7" x14ac:dyDescent="0.3">
      <c r="A220" s="2">
        <v>497700</v>
      </c>
      <c r="B220" s="2">
        <v>200815.02651673503</v>
      </c>
      <c r="C220">
        <f t="shared" si="6"/>
        <v>296884.97348326497</v>
      </c>
      <c r="F220" s="2">
        <f t="shared" si="7"/>
        <v>296884.97348326497</v>
      </c>
      <c r="G220" s="1"/>
    </row>
    <row r="221" spans="1:7" x14ac:dyDescent="0.3">
      <c r="A221" s="2">
        <v>525000</v>
      </c>
      <c r="B221" s="2">
        <v>485317.996516735</v>
      </c>
      <c r="C221">
        <f t="shared" si="6"/>
        <v>39682.003483264998</v>
      </c>
      <c r="F221" s="2">
        <f t="shared" si="7"/>
        <v>39682.003483264998</v>
      </c>
      <c r="G221" s="1"/>
    </row>
    <row r="222" spans="1:7" x14ac:dyDescent="0.3">
      <c r="A222" s="2">
        <v>489300</v>
      </c>
      <c r="B222" s="2">
        <v>458920.32651673496</v>
      </c>
      <c r="C222">
        <f t="shared" si="6"/>
        <v>30379.67348326504</v>
      </c>
      <c r="F222" s="2">
        <f t="shared" si="7"/>
        <v>30379.67348326504</v>
      </c>
      <c r="G222" s="1"/>
    </row>
    <row r="223" spans="1:7" x14ac:dyDescent="0.3">
      <c r="A223" s="2">
        <v>602700</v>
      </c>
      <c r="B223" s="2">
        <v>565633.51651673485</v>
      </c>
      <c r="C223">
        <f t="shared" si="6"/>
        <v>37066.483483265154</v>
      </c>
      <c r="F223" s="2">
        <f t="shared" si="7"/>
        <v>37066.483483265154</v>
      </c>
      <c r="G223" s="1"/>
    </row>
    <row r="224" spans="1:7" x14ac:dyDescent="0.3">
      <c r="A224" s="2">
        <v>451500</v>
      </c>
      <c r="B224" s="2">
        <v>416529.83151673485</v>
      </c>
      <c r="C224">
        <f t="shared" si="6"/>
        <v>34970.168483265152</v>
      </c>
      <c r="F224" s="2">
        <f t="shared" si="7"/>
        <v>34970.168483265152</v>
      </c>
      <c r="G224" s="1"/>
    </row>
    <row r="225" spans="1:7" x14ac:dyDescent="0.3">
      <c r="A225" s="2">
        <v>483000</v>
      </c>
      <c r="B225" s="2">
        <v>533559.84151673503</v>
      </c>
      <c r="C225">
        <f t="shared" si="6"/>
        <v>-50559.841516735032</v>
      </c>
      <c r="F225" s="2">
        <f t="shared" si="7"/>
        <v>50559.841516735032</v>
      </c>
      <c r="G225" s="1"/>
    </row>
    <row r="226" spans="1:7" x14ac:dyDescent="0.3">
      <c r="A226" s="2">
        <v>560700</v>
      </c>
      <c r="B226" s="2">
        <v>572673.12151673483</v>
      </c>
      <c r="C226">
        <f t="shared" si="6"/>
        <v>-11973.121516734827</v>
      </c>
      <c r="F226" s="2">
        <f t="shared" si="7"/>
        <v>11973.121516734827</v>
      </c>
      <c r="G226" s="1"/>
    </row>
    <row r="227" spans="1:7" x14ac:dyDescent="0.3">
      <c r="A227" s="2">
        <v>455700</v>
      </c>
      <c r="B227" s="2">
        <v>377070.71651673486</v>
      </c>
      <c r="C227">
        <f t="shared" si="6"/>
        <v>78629.283483265142</v>
      </c>
      <c r="F227" s="2">
        <f t="shared" si="7"/>
        <v>78629.283483265142</v>
      </c>
      <c r="G227" s="1"/>
    </row>
    <row r="228" spans="1:7" x14ac:dyDescent="0.3">
      <c r="A228" s="2">
        <v>577500</v>
      </c>
      <c r="B228" s="2">
        <v>564053.6615167351</v>
      </c>
      <c r="C228">
        <f t="shared" si="6"/>
        <v>13446.338483264903</v>
      </c>
      <c r="F228" s="2">
        <f t="shared" si="7"/>
        <v>13446.338483264903</v>
      </c>
      <c r="G228" s="1"/>
    </row>
    <row r="229" spans="1:7" x14ac:dyDescent="0.3">
      <c r="A229" s="2">
        <v>632100</v>
      </c>
      <c r="B229" s="2">
        <v>566738.36651673517</v>
      </c>
      <c r="C229">
        <f t="shared" si="6"/>
        <v>65361.633483264828</v>
      </c>
      <c r="F229" s="2">
        <f t="shared" si="7"/>
        <v>65361.633483264828</v>
      </c>
      <c r="G229" s="1"/>
    </row>
    <row r="230" spans="1:7" x14ac:dyDescent="0.3">
      <c r="A230" s="2">
        <v>940800</v>
      </c>
      <c r="B230" s="2">
        <v>746935.02651673486</v>
      </c>
      <c r="C230">
        <f t="shared" si="6"/>
        <v>193864.97348326514</v>
      </c>
      <c r="F230" s="2">
        <f t="shared" si="7"/>
        <v>193864.97348326514</v>
      </c>
      <c r="G230" s="1"/>
    </row>
    <row r="231" spans="1:7" x14ac:dyDescent="0.3">
      <c r="A231" s="2">
        <v>789600</v>
      </c>
      <c r="B231" s="2">
        <v>738328.82651673513</v>
      </c>
      <c r="C231">
        <f t="shared" si="6"/>
        <v>51271.173483264865</v>
      </c>
      <c r="F231" s="2">
        <f t="shared" si="7"/>
        <v>51271.173483264865</v>
      </c>
      <c r="G231" s="1"/>
    </row>
    <row r="232" spans="1:7" x14ac:dyDescent="0.3">
      <c r="A232" s="2">
        <v>663600</v>
      </c>
      <c r="B232" s="2">
        <v>627369.05151673499</v>
      </c>
      <c r="C232">
        <f t="shared" si="6"/>
        <v>36230.948483265005</v>
      </c>
      <c r="F232" s="2">
        <f t="shared" si="7"/>
        <v>36230.948483265005</v>
      </c>
      <c r="G232" s="1"/>
    </row>
    <row r="233" spans="1:7" x14ac:dyDescent="0.3">
      <c r="A233" s="2">
        <v>980700</v>
      </c>
      <c r="B233" s="2">
        <v>699114.10651673516</v>
      </c>
      <c r="C233">
        <f t="shared" si="6"/>
        <v>281585.89348326484</v>
      </c>
      <c r="F233" s="2">
        <f t="shared" si="7"/>
        <v>281585.89348326484</v>
      </c>
      <c r="G233" s="1"/>
    </row>
    <row r="234" spans="1:7" x14ac:dyDescent="0.3">
      <c r="A234" s="2">
        <v>661500</v>
      </c>
      <c r="B234" s="2">
        <v>602685.23651673505</v>
      </c>
      <c r="C234">
        <f t="shared" si="6"/>
        <v>58814.763483264949</v>
      </c>
      <c r="F234" s="2">
        <f t="shared" si="7"/>
        <v>58814.763483264949</v>
      </c>
      <c r="G234" s="1"/>
    </row>
    <row r="235" spans="1:7" x14ac:dyDescent="0.3">
      <c r="A235" s="2">
        <v>510300</v>
      </c>
      <c r="B235" s="2">
        <v>467658.01151673513</v>
      </c>
      <c r="C235">
        <f t="shared" si="6"/>
        <v>42641.988483264868</v>
      </c>
      <c r="F235" s="2">
        <f t="shared" si="7"/>
        <v>42641.988483264868</v>
      </c>
      <c r="G235" s="1"/>
    </row>
    <row r="236" spans="1:7" x14ac:dyDescent="0.3">
      <c r="A236" s="2">
        <v>665700</v>
      </c>
      <c r="B236" s="2">
        <v>660966.12651673495</v>
      </c>
      <c r="C236">
        <f t="shared" si="6"/>
        <v>4733.8734832650516</v>
      </c>
      <c r="F236" s="2">
        <f t="shared" si="7"/>
        <v>4733.8734832650516</v>
      </c>
      <c r="G236" s="1"/>
    </row>
    <row r="237" spans="1:7" x14ac:dyDescent="0.3">
      <c r="A237" s="2">
        <v>875700</v>
      </c>
      <c r="B237" s="2">
        <v>771198.97151673492</v>
      </c>
      <c r="C237">
        <f t="shared" si="6"/>
        <v>104501.02848326508</v>
      </c>
      <c r="F237" s="2">
        <f t="shared" si="7"/>
        <v>104501.02848326508</v>
      </c>
      <c r="G237" s="1"/>
    </row>
    <row r="238" spans="1:7" x14ac:dyDescent="0.3">
      <c r="A238" s="2">
        <v>1014300</v>
      </c>
      <c r="B238" s="2">
        <v>747351.60151673481</v>
      </c>
      <c r="C238">
        <f t="shared" si="6"/>
        <v>266948.39848326519</v>
      </c>
      <c r="F238" s="2">
        <f t="shared" si="7"/>
        <v>266948.39848326519</v>
      </c>
      <c r="G238" s="1"/>
    </row>
    <row r="239" spans="1:7" x14ac:dyDescent="0.3">
      <c r="A239" s="2">
        <v>609000</v>
      </c>
      <c r="B239" s="2">
        <v>571205.33651673491</v>
      </c>
      <c r="C239">
        <f t="shared" si="6"/>
        <v>37794.663483265089</v>
      </c>
      <c r="F239" s="2">
        <f t="shared" si="7"/>
        <v>37794.663483265089</v>
      </c>
      <c r="G239" s="1"/>
    </row>
    <row r="240" spans="1:7" x14ac:dyDescent="0.3">
      <c r="A240" s="2">
        <v>504000</v>
      </c>
      <c r="B240" s="2">
        <v>485101.06651673507</v>
      </c>
      <c r="C240">
        <f t="shared" si="6"/>
        <v>18898.933483264933</v>
      </c>
      <c r="F240" s="2">
        <f t="shared" si="7"/>
        <v>18898.933483264933</v>
      </c>
      <c r="G240" s="1"/>
    </row>
    <row r="241" spans="1:7" x14ac:dyDescent="0.3">
      <c r="A241" s="2">
        <v>527100</v>
      </c>
      <c r="B241" s="2">
        <v>546816.65151673509</v>
      </c>
      <c r="C241">
        <f t="shared" si="6"/>
        <v>-19716.651516735088</v>
      </c>
      <c r="F241" s="2">
        <f t="shared" si="7"/>
        <v>19716.651516735088</v>
      </c>
      <c r="G241" s="1"/>
    </row>
    <row r="242" spans="1:7" x14ac:dyDescent="0.3">
      <c r="A242" s="2">
        <v>661500</v>
      </c>
      <c r="B242" s="2">
        <v>661933.09651673492</v>
      </c>
      <c r="C242">
        <f t="shared" si="6"/>
        <v>-433.09651673492044</v>
      </c>
      <c r="F242" s="2">
        <f t="shared" si="7"/>
        <v>433.09651673492044</v>
      </c>
      <c r="G242" s="1"/>
    </row>
    <row r="243" spans="1:7" x14ac:dyDescent="0.3">
      <c r="A243" s="2">
        <v>497700</v>
      </c>
      <c r="B243" s="2">
        <v>583925.32151673501</v>
      </c>
      <c r="C243">
        <f t="shared" si="6"/>
        <v>-86225.321516735014</v>
      </c>
      <c r="F243" s="2">
        <f t="shared" si="7"/>
        <v>86225.321516735014</v>
      </c>
      <c r="G243" s="1"/>
    </row>
    <row r="244" spans="1:7" x14ac:dyDescent="0.3">
      <c r="A244" s="2">
        <v>489300</v>
      </c>
      <c r="B244" s="2">
        <v>583788.45651673502</v>
      </c>
      <c r="C244">
        <f t="shared" si="6"/>
        <v>-94488.456516735023</v>
      </c>
      <c r="F244" s="2">
        <f t="shared" si="7"/>
        <v>94488.456516735023</v>
      </c>
      <c r="G244" s="1"/>
    </row>
    <row r="245" spans="1:7" x14ac:dyDescent="0.3">
      <c r="A245" s="2">
        <v>462000</v>
      </c>
      <c r="B245" s="2">
        <v>565474.38151673507</v>
      </c>
      <c r="C245">
        <f t="shared" si="6"/>
        <v>-103474.38151673507</v>
      </c>
      <c r="F245" s="2">
        <f t="shared" si="7"/>
        <v>103474.38151673507</v>
      </c>
      <c r="G245" s="1"/>
    </row>
    <row r="246" spans="1:7" x14ac:dyDescent="0.3">
      <c r="A246" s="2">
        <v>422100</v>
      </c>
      <c r="B246" s="2">
        <v>484983.27151673503</v>
      </c>
      <c r="C246">
        <f t="shared" si="6"/>
        <v>-62883.271516735025</v>
      </c>
      <c r="F246" s="2">
        <f t="shared" si="7"/>
        <v>62883.271516735025</v>
      </c>
      <c r="G246" s="1"/>
    </row>
    <row r="247" spans="1:7" x14ac:dyDescent="0.3">
      <c r="A247" s="2">
        <v>466200</v>
      </c>
      <c r="B247" s="2">
        <v>520551.68651673495</v>
      </c>
      <c r="C247">
        <f t="shared" si="6"/>
        <v>-54351.686516734946</v>
      </c>
      <c r="F247" s="2">
        <f t="shared" si="7"/>
        <v>54351.686516734946</v>
      </c>
      <c r="G247" s="1"/>
    </row>
    <row r="248" spans="1:7" x14ac:dyDescent="0.3">
      <c r="A248" s="2">
        <v>497700</v>
      </c>
      <c r="B248" s="2">
        <v>589000.93151673488</v>
      </c>
      <c r="C248">
        <f t="shared" si="6"/>
        <v>-91300.931516734883</v>
      </c>
      <c r="F248" s="2">
        <f t="shared" si="7"/>
        <v>91300.931516734883</v>
      </c>
      <c r="G248" s="1"/>
    </row>
    <row r="249" spans="1:7" x14ac:dyDescent="0.3">
      <c r="A249" s="2">
        <v>369600</v>
      </c>
      <c r="B249" s="2">
        <v>391712.741516735</v>
      </c>
      <c r="C249">
        <f t="shared" si="6"/>
        <v>-22112.741516734997</v>
      </c>
      <c r="F249" s="2">
        <f t="shared" si="7"/>
        <v>22112.741516734997</v>
      </c>
      <c r="G249" s="1"/>
    </row>
    <row r="250" spans="1:7" x14ac:dyDescent="0.3">
      <c r="A250" s="2">
        <v>388500</v>
      </c>
      <c r="B250" s="2">
        <v>328091.48151673499</v>
      </c>
      <c r="C250">
        <f t="shared" si="6"/>
        <v>60408.518483265012</v>
      </c>
      <c r="F250" s="2">
        <f t="shared" si="7"/>
        <v>60408.518483265012</v>
      </c>
      <c r="G250" s="1"/>
    </row>
    <row r="251" spans="1:7" x14ac:dyDescent="0.3">
      <c r="A251" s="2">
        <v>510300</v>
      </c>
      <c r="B251" s="2">
        <v>472529.37651673501</v>
      </c>
      <c r="C251">
        <f t="shared" si="6"/>
        <v>37770.623483264993</v>
      </c>
      <c r="F251" s="2">
        <f t="shared" si="7"/>
        <v>37770.623483264993</v>
      </c>
      <c r="G251" s="1"/>
    </row>
    <row r="252" spans="1:7" x14ac:dyDescent="0.3">
      <c r="A252" s="2">
        <v>430500</v>
      </c>
      <c r="B252" s="2">
        <v>472003.53651673492</v>
      </c>
      <c r="C252">
        <f t="shared" si="6"/>
        <v>-41503.536516734923</v>
      </c>
      <c r="F252" s="2">
        <f t="shared" si="7"/>
        <v>41503.536516734923</v>
      </c>
      <c r="G252" s="1"/>
    </row>
    <row r="253" spans="1:7" x14ac:dyDescent="0.3">
      <c r="A253" s="2">
        <v>514500</v>
      </c>
      <c r="B253" s="2">
        <v>496757.36151673499</v>
      </c>
      <c r="C253">
        <f t="shared" si="6"/>
        <v>17742.638483265007</v>
      </c>
      <c r="F253" s="2">
        <f t="shared" si="7"/>
        <v>17742.638483265007</v>
      </c>
      <c r="G253" s="1"/>
    </row>
    <row r="254" spans="1:7" x14ac:dyDescent="0.3">
      <c r="A254" s="2">
        <v>550200</v>
      </c>
      <c r="B254" s="2">
        <v>553541.42651673523</v>
      </c>
      <c r="C254">
        <f t="shared" si="6"/>
        <v>-3341.4265167352278</v>
      </c>
      <c r="F254" s="2">
        <f t="shared" si="7"/>
        <v>3341.4265167352278</v>
      </c>
      <c r="G254" s="1"/>
    </row>
    <row r="255" spans="1:7" x14ac:dyDescent="0.3">
      <c r="A255" s="2">
        <v>512400</v>
      </c>
      <c r="B255" s="2">
        <v>540705.25151673495</v>
      </c>
      <c r="C255">
        <f t="shared" si="6"/>
        <v>-28305.251516734948</v>
      </c>
      <c r="F255" s="2">
        <f t="shared" si="7"/>
        <v>28305.251516734948</v>
      </c>
      <c r="G255" s="1"/>
    </row>
    <row r="256" spans="1:7" x14ac:dyDescent="0.3">
      <c r="A256" s="2">
        <v>520800</v>
      </c>
      <c r="B256" s="2">
        <v>561524.75651673484</v>
      </c>
      <c r="C256">
        <f t="shared" si="6"/>
        <v>-40724.756516734837</v>
      </c>
      <c r="F256" s="2">
        <f t="shared" si="7"/>
        <v>40724.756516734837</v>
      </c>
      <c r="G256" s="1"/>
    </row>
    <row r="257" spans="1:7" x14ac:dyDescent="0.3">
      <c r="A257" s="2">
        <v>621600</v>
      </c>
      <c r="B257" s="2">
        <v>607102.93151673512</v>
      </c>
      <c r="C257">
        <f t="shared" si="6"/>
        <v>14497.068483264884</v>
      </c>
      <c r="F257" s="2">
        <f t="shared" si="7"/>
        <v>14497.068483264884</v>
      </c>
      <c r="G257" s="1"/>
    </row>
    <row r="258" spans="1:7" x14ac:dyDescent="0.3">
      <c r="A258" s="2">
        <v>898800</v>
      </c>
      <c r="B258" s="2">
        <v>719702.07151673525</v>
      </c>
      <c r="C258">
        <f t="shared" si="6"/>
        <v>179097.92848326475</v>
      </c>
      <c r="F258" s="2">
        <f t="shared" si="7"/>
        <v>179097.92848326475</v>
      </c>
      <c r="G258" s="1"/>
    </row>
    <row r="259" spans="1:7" x14ac:dyDescent="0.3">
      <c r="A259" s="2">
        <v>459900</v>
      </c>
      <c r="B259" s="2">
        <v>553256.686516735</v>
      </c>
      <c r="C259">
        <f t="shared" si="6"/>
        <v>-93356.686516735004</v>
      </c>
      <c r="F259" s="2">
        <f t="shared" si="7"/>
        <v>93356.686516735004</v>
      </c>
      <c r="G259" s="1"/>
    </row>
    <row r="260" spans="1:7" x14ac:dyDescent="0.3">
      <c r="A260" s="2">
        <v>438900</v>
      </c>
      <c r="B260" s="2">
        <v>504098.28651673504</v>
      </c>
      <c r="C260">
        <f t="shared" si="6"/>
        <v>-65198.286516735039</v>
      </c>
      <c r="F260" s="2">
        <f t="shared" si="7"/>
        <v>65198.286516735039</v>
      </c>
      <c r="G260" s="1"/>
    </row>
    <row r="261" spans="1:7" x14ac:dyDescent="0.3">
      <c r="A261" s="2">
        <v>924000</v>
      </c>
      <c r="B261" s="2">
        <v>717056.71651673503</v>
      </c>
      <c r="C261">
        <f t="shared" si="6"/>
        <v>206943.28348326497</v>
      </c>
      <c r="F261" s="2">
        <f t="shared" si="7"/>
        <v>206943.28348326497</v>
      </c>
      <c r="G261" s="1"/>
    </row>
    <row r="262" spans="1:7" x14ac:dyDescent="0.3">
      <c r="A262" s="2">
        <v>756000</v>
      </c>
      <c r="B262" s="2">
        <v>712335.83151673502</v>
      </c>
      <c r="C262">
        <f t="shared" si="6"/>
        <v>43664.168483264977</v>
      </c>
      <c r="F262" s="2">
        <f t="shared" si="7"/>
        <v>43664.168483264977</v>
      </c>
      <c r="G262" s="1"/>
    </row>
    <row r="263" spans="1:7" x14ac:dyDescent="0.3">
      <c r="A263" s="2">
        <v>632100</v>
      </c>
      <c r="B263" s="2">
        <v>679488.02651673497</v>
      </c>
      <c r="C263">
        <f t="shared" si="6"/>
        <v>-47388.026516734972</v>
      </c>
      <c r="F263" s="2">
        <f t="shared" si="7"/>
        <v>47388.026516734972</v>
      </c>
      <c r="G263" s="1"/>
    </row>
    <row r="264" spans="1:7" x14ac:dyDescent="0.3">
      <c r="A264" s="2">
        <v>709800</v>
      </c>
      <c r="B264" s="2">
        <v>681554.181516735</v>
      </c>
      <c r="C264">
        <f t="shared" si="6"/>
        <v>28245.818483265</v>
      </c>
      <c r="F264" s="2">
        <f t="shared" si="7"/>
        <v>28245.818483265</v>
      </c>
      <c r="G264" s="1"/>
    </row>
    <row r="265" spans="1:7" x14ac:dyDescent="0.3">
      <c r="A265" s="2">
        <v>905100</v>
      </c>
      <c r="B265" s="2">
        <v>734273.45651673502</v>
      </c>
      <c r="C265">
        <f t="shared" si="6"/>
        <v>170826.54348326498</v>
      </c>
      <c r="F265" s="2">
        <f t="shared" si="7"/>
        <v>170826.54348326498</v>
      </c>
      <c r="G265" s="1"/>
    </row>
    <row r="266" spans="1:7" x14ac:dyDescent="0.3">
      <c r="A266" s="2">
        <v>1024800</v>
      </c>
      <c r="B266" s="2">
        <v>824923.67651673499</v>
      </c>
      <c r="C266">
        <f t="shared" si="6"/>
        <v>199876.32348326501</v>
      </c>
      <c r="F266" s="2">
        <f t="shared" si="7"/>
        <v>199876.32348326501</v>
      </c>
      <c r="G266" s="1"/>
    </row>
    <row r="267" spans="1:7" x14ac:dyDescent="0.3">
      <c r="A267" s="2">
        <v>651000</v>
      </c>
      <c r="B267" s="2">
        <v>674278.90151673509</v>
      </c>
      <c r="C267">
        <f t="shared" si="6"/>
        <v>-23278.901516735088</v>
      </c>
      <c r="F267" s="2">
        <f t="shared" si="7"/>
        <v>23278.901516735088</v>
      </c>
      <c r="G267" s="1"/>
    </row>
    <row r="268" spans="1:7" x14ac:dyDescent="0.3">
      <c r="A268" s="2">
        <v>766500</v>
      </c>
      <c r="B268" s="2">
        <v>697978.88651673507</v>
      </c>
      <c r="C268">
        <f t="shared" si="6"/>
        <v>68521.113483264926</v>
      </c>
      <c r="F268" s="2">
        <f t="shared" si="7"/>
        <v>68521.113483264926</v>
      </c>
      <c r="G268" s="1"/>
    </row>
    <row r="269" spans="1:7" x14ac:dyDescent="0.3">
      <c r="A269" s="2">
        <v>478800</v>
      </c>
      <c r="B269" s="2">
        <v>529997.74651673506</v>
      </c>
      <c r="C269">
        <f t="shared" si="6"/>
        <v>-51197.74651673506</v>
      </c>
      <c r="F269" s="2">
        <f t="shared" si="7"/>
        <v>51197.74651673506</v>
      </c>
      <c r="G269" s="1"/>
    </row>
    <row r="270" spans="1:7" x14ac:dyDescent="0.3">
      <c r="A270" s="2">
        <v>644700</v>
      </c>
      <c r="B270" s="2">
        <v>608778.59651673515</v>
      </c>
      <c r="C270">
        <f t="shared" ref="C270:C333" si="8">A270-B270</f>
        <v>35921.403483264847</v>
      </c>
      <c r="F270" s="2">
        <f t="shared" ref="F270:F333" si="9">ABS(C270)</f>
        <v>35921.403483264847</v>
      </c>
      <c r="G270" s="1"/>
    </row>
    <row r="271" spans="1:7" x14ac:dyDescent="0.3">
      <c r="A271" s="2">
        <v>913500</v>
      </c>
      <c r="B271" s="2">
        <v>774426.10651673505</v>
      </c>
      <c r="C271">
        <f t="shared" si="8"/>
        <v>139073.89348326495</v>
      </c>
      <c r="F271" s="2">
        <f t="shared" si="9"/>
        <v>139073.89348326495</v>
      </c>
      <c r="G271" s="1"/>
    </row>
    <row r="272" spans="1:7" x14ac:dyDescent="0.3">
      <c r="A272" s="2">
        <v>434700</v>
      </c>
      <c r="B272" s="2">
        <v>417289.14651673503</v>
      </c>
      <c r="C272">
        <f t="shared" si="8"/>
        <v>17410.853483264975</v>
      </c>
      <c r="F272" s="2">
        <f t="shared" si="9"/>
        <v>17410.853483264975</v>
      </c>
      <c r="G272" s="1"/>
    </row>
    <row r="273" spans="1:7" x14ac:dyDescent="0.3">
      <c r="A273" s="2">
        <v>443100</v>
      </c>
      <c r="B273" s="2">
        <v>418800.83651673509</v>
      </c>
      <c r="C273">
        <f t="shared" si="8"/>
        <v>24299.163483264914</v>
      </c>
      <c r="F273" s="2">
        <f t="shared" si="9"/>
        <v>24299.163483264914</v>
      </c>
      <c r="G273" s="1"/>
    </row>
    <row r="274" spans="1:7" x14ac:dyDescent="0.3">
      <c r="A274" s="2">
        <v>529200</v>
      </c>
      <c r="B274" s="2">
        <v>521583.88651673502</v>
      </c>
      <c r="C274">
        <f t="shared" si="8"/>
        <v>7616.1134832649841</v>
      </c>
      <c r="F274" s="2">
        <f t="shared" si="9"/>
        <v>7616.1134832649841</v>
      </c>
      <c r="G274" s="1"/>
    </row>
    <row r="275" spans="1:7" x14ac:dyDescent="0.3">
      <c r="A275" s="2">
        <v>512400</v>
      </c>
      <c r="B275" s="2">
        <v>535012.39651673497</v>
      </c>
      <c r="C275">
        <f t="shared" si="8"/>
        <v>-22612.396516734967</v>
      </c>
      <c r="F275" s="2">
        <f t="shared" si="9"/>
        <v>22612.396516734967</v>
      </c>
      <c r="G275" s="1"/>
    </row>
    <row r="276" spans="1:7" x14ac:dyDescent="0.3">
      <c r="A276" s="2">
        <v>739200</v>
      </c>
      <c r="B276" s="2">
        <v>647298.19151673489</v>
      </c>
      <c r="C276">
        <f t="shared" si="8"/>
        <v>91901.808483265107</v>
      </c>
      <c r="F276" s="2">
        <f t="shared" si="9"/>
        <v>91901.808483265107</v>
      </c>
      <c r="G276" s="1"/>
    </row>
    <row r="277" spans="1:7" x14ac:dyDescent="0.3">
      <c r="A277" s="2">
        <v>680400</v>
      </c>
      <c r="B277" s="2">
        <v>619114.49651673506</v>
      </c>
      <c r="C277">
        <f t="shared" si="8"/>
        <v>61285.50348326494</v>
      </c>
      <c r="F277" s="2">
        <f t="shared" si="9"/>
        <v>61285.50348326494</v>
      </c>
      <c r="G277" s="1"/>
    </row>
    <row r="278" spans="1:7" x14ac:dyDescent="0.3">
      <c r="A278" s="2">
        <v>672000</v>
      </c>
      <c r="B278" s="2">
        <v>633391.686516735</v>
      </c>
      <c r="C278">
        <f t="shared" si="8"/>
        <v>38608.313483264996</v>
      </c>
      <c r="F278" s="2">
        <f t="shared" si="9"/>
        <v>38608.313483264996</v>
      </c>
      <c r="G278" s="1"/>
    </row>
    <row r="279" spans="1:7" x14ac:dyDescent="0.3">
      <c r="A279" s="2">
        <v>697200</v>
      </c>
      <c r="B279" s="2">
        <v>635836.60151673504</v>
      </c>
      <c r="C279">
        <f t="shared" si="8"/>
        <v>61363.398483264958</v>
      </c>
      <c r="F279" s="2">
        <f t="shared" si="9"/>
        <v>61363.398483264958</v>
      </c>
      <c r="G279" s="1"/>
    </row>
    <row r="280" spans="1:7" x14ac:dyDescent="0.3">
      <c r="A280" s="2">
        <v>695100</v>
      </c>
      <c r="B280" s="2">
        <v>618166.04651673487</v>
      </c>
      <c r="C280">
        <f t="shared" si="8"/>
        <v>76933.953483265126</v>
      </c>
      <c r="F280" s="2">
        <f t="shared" si="9"/>
        <v>76933.953483265126</v>
      </c>
      <c r="G280" s="1"/>
    </row>
    <row r="281" spans="1:7" x14ac:dyDescent="0.3">
      <c r="A281" s="2">
        <v>611100</v>
      </c>
      <c r="B281" s="2">
        <v>555515.21651673503</v>
      </c>
      <c r="C281">
        <f t="shared" si="8"/>
        <v>55584.783483264968</v>
      </c>
      <c r="F281" s="2">
        <f t="shared" si="9"/>
        <v>55584.783483264968</v>
      </c>
      <c r="G281" s="1"/>
    </row>
    <row r="282" spans="1:7" x14ac:dyDescent="0.3">
      <c r="A282" s="2">
        <v>737100</v>
      </c>
      <c r="B282" s="2">
        <v>662096.72651673504</v>
      </c>
      <c r="C282">
        <f t="shared" si="8"/>
        <v>75003.273483264958</v>
      </c>
      <c r="F282" s="2">
        <f t="shared" si="9"/>
        <v>75003.273483264958</v>
      </c>
      <c r="G282" s="1"/>
    </row>
    <row r="283" spans="1:7" x14ac:dyDescent="0.3">
      <c r="A283" s="2">
        <v>953400</v>
      </c>
      <c r="B283" s="2">
        <v>761179.65651673498</v>
      </c>
      <c r="C283">
        <f t="shared" si="8"/>
        <v>192220.34348326502</v>
      </c>
      <c r="F283" s="2">
        <f t="shared" si="9"/>
        <v>192220.34348326502</v>
      </c>
      <c r="G283" s="1"/>
    </row>
    <row r="284" spans="1:7" x14ac:dyDescent="0.3">
      <c r="A284" s="2">
        <v>743400</v>
      </c>
      <c r="B284" s="2">
        <v>678421.60651673516</v>
      </c>
      <c r="C284">
        <f t="shared" si="8"/>
        <v>64978.393483264837</v>
      </c>
      <c r="F284" s="2">
        <f t="shared" si="9"/>
        <v>64978.393483264837</v>
      </c>
      <c r="G284" s="1"/>
    </row>
    <row r="285" spans="1:7" x14ac:dyDescent="0.3">
      <c r="A285" s="2">
        <v>966000</v>
      </c>
      <c r="B285" s="2">
        <v>754167.53151673498</v>
      </c>
      <c r="C285">
        <f t="shared" si="8"/>
        <v>211832.46848326502</v>
      </c>
      <c r="F285" s="2">
        <f t="shared" si="9"/>
        <v>211832.46848326502</v>
      </c>
      <c r="G285" s="1"/>
    </row>
    <row r="286" spans="1:7" x14ac:dyDescent="0.3">
      <c r="A286" s="2">
        <v>676200</v>
      </c>
      <c r="B286" s="2">
        <v>645644.86651673494</v>
      </c>
      <c r="C286">
        <f t="shared" si="8"/>
        <v>30555.133483265061</v>
      </c>
      <c r="F286" s="2">
        <f t="shared" si="9"/>
        <v>30555.133483265061</v>
      </c>
      <c r="G286" s="1"/>
    </row>
    <row r="287" spans="1:7" x14ac:dyDescent="0.3">
      <c r="A287" s="2">
        <v>462000</v>
      </c>
      <c r="B287" s="2">
        <v>586553.47151673492</v>
      </c>
      <c r="C287">
        <f t="shared" si="8"/>
        <v>-124553.47151673492</v>
      </c>
      <c r="F287" s="2">
        <f t="shared" si="9"/>
        <v>124553.47151673492</v>
      </c>
      <c r="G287" s="1"/>
    </row>
    <row r="288" spans="1:7" x14ac:dyDescent="0.3">
      <c r="A288" s="2">
        <v>422100</v>
      </c>
      <c r="B288" s="2">
        <v>459732.37651673512</v>
      </c>
      <c r="C288">
        <f t="shared" si="8"/>
        <v>-37632.376516735123</v>
      </c>
      <c r="F288" s="2">
        <f t="shared" si="9"/>
        <v>37632.376516735123</v>
      </c>
      <c r="G288" s="1"/>
    </row>
    <row r="289" spans="1:7" x14ac:dyDescent="0.3">
      <c r="A289" s="2">
        <v>487200</v>
      </c>
      <c r="B289" s="2">
        <v>551917.42151673487</v>
      </c>
      <c r="C289">
        <f t="shared" si="8"/>
        <v>-64717.421516734874</v>
      </c>
      <c r="F289" s="2">
        <f t="shared" si="9"/>
        <v>64717.421516734874</v>
      </c>
      <c r="G289" s="1"/>
    </row>
    <row r="290" spans="1:7" x14ac:dyDescent="0.3">
      <c r="A290" s="2">
        <v>468300</v>
      </c>
      <c r="B290" s="2">
        <v>556102.77151673497</v>
      </c>
      <c r="C290">
        <f t="shared" si="8"/>
        <v>-87802.771516734967</v>
      </c>
      <c r="F290" s="2">
        <f t="shared" si="9"/>
        <v>87802.771516734967</v>
      </c>
      <c r="G290" s="1"/>
    </row>
    <row r="291" spans="1:7" x14ac:dyDescent="0.3">
      <c r="A291" s="2">
        <v>520800</v>
      </c>
      <c r="B291" s="2">
        <v>557022.43151673512</v>
      </c>
      <c r="C291">
        <f t="shared" si="8"/>
        <v>-36222.431516735116</v>
      </c>
      <c r="F291" s="2">
        <f t="shared" si="9"/>
        <v>36222.431516735116</v>
      </c>
      <c r="G291" s="1"/>
    </row>
    <row r="292" spans="1:7" x14ac:dyDescent="0.3">
      <c r="A292" s="2">
        <v>598500</v>
      </c>
      <c r="B292" s="2">
        <v>599013.29151673499</v>
      </c>
      <c r="C292">
        <f t="shared" si="8"/>
        <v>-513.29151673498563</v>
      </c>
      <c r="F292" s="2">
        <f t="shared" si="9"/>
        <v>513.29151673498563</v>
      </c>
      <c r="G292" s="1"/>
    </row>
    <row r="293" spans="1:7" x14ac:dyDescent="0.3">
      <c r="A293" s="2">
        <v>783300</v>
      </c>
      <c r="B293" s="2">
        <v>621362.17651673523</v>
      </c>
      <c r="C293">
        <f t="shared" si="8"/>
        <v>161937.82348326477</v>
      </c>
      <c r="F293" s="2">
        <f t="shared" si="9"/>
        <v>161937.82348326477</v>
      </c>
      <c r="G293" s="1"/>
    </row>
    <row r="294" spans="1:7" x14ac:dyDescent="0.3">
      <c r="A294" s="2">
        <v>585900</v>
      </c>
      <c r="B294" s="2">
        <v>564153.64651673497</v>
      </c>
      <c r="C294">
        <f t="shared" si="8"/>
        <v>21746.353483265033</v>
      </c>
      <c r="F294" s="2">
        <f t="shared" si="9"/>
        <v>21746.353483265033</v>
      </c>
      <c r="G294" s="1"/>
    </row>
    <row r="295" spans="1:7" x14ac:dyDescent="0.3">
      <c r="A295" s="2">
        <v>501900</v>
      </c>
      <c r="B295" s="2">
        <v>540891.73151673505</v>
      </c>
      <c r="C295">
        <f t="shared" si="8"/>
        <v>-38991.731516735046</v>
      </c>
      <c r="F295" s="2">
        <f t="shared" si="9"/>
        <v>38991.731516735046</v>
      </c>
      <c r="G295" s="1"/>
    </row>
    <row r="296" spans="1:7" x14ac:dyDescent="0.3">
      <c r="A296" s="2">
        <v>455700</v>
      </c>
      <c r="B296" s="2">
        <v>510931.88151673507</v>
      </c>
      <c r="C296">
        <f t="shared" si="8"/>
        <v>-55231.881516735069</v>
      </c>
      <c r="F296" s="2">
        <f t="shared" si="9"/>
        <v>55231.881516735069</v>
      </c>
      <c r="G296" s="1"/>
    </row>
    <row r="297" spans="1:7" x14ac:dyDescent="0.3">
      <c r="A297" s="2">
        <v>600600</v>
      </c>
      <c r="B297" s="2">
        <v>613650.23651673505</v>
      </c>
      <c r="C297">
        <f t="shared" si="8"/>
        <v>-13050.236516735051</v>
      </c>
      <c r="F297" s="2">
        <f t="shared" si="9"/>
        <v>13050.236516735051</v>
      </c>
      <c r="G297" s="1"/>
    </row>
    <row r="298" spans="1:7" x14ac:dyDescent="0.3">
      <c r="A298" s="2">
        <v>569100</v>
      </c>
      <c r="B298" s="2">
        <v>590332.47151673504</v>
      </c>
      <c r="C298">
        <f t="shared" si="8"/>
        <v>-21232.471516735037</v>
      </c>
      <c r="F298" s="2">
        <f t="shared" si="9"/>
        <v>21232.471516735037</v>
      </c>
      <c r="G298" s="1"/>
    </row>
    <row r="299" spans="1:7" x14ac:dyDescent="0.3">
      <c r="A299" s="2">
        <v>426300</v>
      </c>
      <c r="B299" s="2">
        <v>432955.58651673503</v>
      </c>
      <c r="C299">
        <f t="shared" si="8"/>
        <v>-6655.5865167350275</v>
      </c>
      <c r="F299" s="2">
        <f t="shared" si="9"/>
        <v>6655.5865167350275</v>
      </c>
      <c r="G299" s="1"/>
    </row>
    <row r="300" spans="1:7" x14ac:dyDescent="0.3">
      <c r="A300" s="2">
        <v>472500</v>
      </c>
      <c r="B300" s="2">
        <v>622318.19151673489</v>
      </c>
      <c r="C300">
        <f t="shared" si="8"/>
        <v>-149818.19151673489</v>
      </c>
      <c r="F300" s="2">
        <f t="shared" si="9"/>
        <v>149818.19151673489</v>
      </c>
      <c r="G300" s="1"/>
    </row>
    <row r="301" spans="1:7" x14ac:dyDescent="0.3">
      <c r="A301" s="2">
        <v>609000</v>
      </c>
      <c r="B301" s="2">
        <v>685062.7015167349</v>
      </c>
      <c r="C301">
        <f t="shared" si="8"/>
        <v>-76062.701516734902</v>
      </c>
      <c r="F301" s="2">
        <f t="shared" si="9"/>
        <v>76062.701516734902</v>
      </c>
      <c r="G301" s="1"/>
    </row>
    <row r="302" spans="1:7" x14ac:dyDescent="0.3">
      <c r="A302" s="2">
        <v>520800</v>
      </c>
      <c r="B302" s="2">
        <v>655917.48151673493</v>
      </c>
      <c r="C302">
        <f t="shared" si="8"/>
        <v>-135117.48151673493</v>
      </c>
      <c r="F302" s="2">
        <f t="shared" si="9"/>
        <v>135117.48151673493</v>
      </c>
      <c r="G302" s="1"/>
    </row>
    <row r="303" spans="1:7" x14ac:dyDescent="0.3">
      <c r="A303" s="2">
        <v>462000</v>
      </c>
      <c r="B303" s="2">
        <v>569041.04651673511</v>
      </c>
      <c r="C303">
        <f t="shared" si="8"/>
        <v>-107041.04651673511</v>
      </c>
      <c r="F303" s="2">
        <f t="shared" si="9"/>
        <v>107041.04651673511</v>
      </c>
      <c r="G303" s="1"/>
    </row>
    <row r="304" spans="1:7" x14ac:dyDescent="0.3">
      <c r="A304" s="2">
        <v>554400</v>
      </c>
      <c r="B304" s="2">
        <v>569822.04151673499</v>
      </c>
      <c r="C304">
        <f t="shared" si="8"/>
        <v>-15422.041516734986</v>
      </c>
      <c r="F304" s="2">
        <f t="shared" si="9"/>
        <v>15422.041516734986</v>
      </c>
      <c r="G304" s="1"/>
    </row>
    <row r="305" spans="1:7" x14ac:dyDescent="0.3">
      <c r="A305" s="2">
        <v>695100</v>
      </c>
      <c r="B305" s="2">
        <v>653313.88651673496</v>
      </c>
      <c r="C305">
        <f t="shared" si="8"/>
        <v>41786.113483265042</v>
      </c>
      <c r="F305" s="2">
        <f t="shared" si="9"/>
        <v>41786.113483265042</v>
      </c>
      <c r="G305" s="1"/>
    </row>
    <row r="306" spans="1:7" x14ac:dyDescent="0.3">
      <c r="A306" s="2">
        <v>758100</v>
      </c>
      <c r="B306" s="2">
        <v>608012.36651673517</v>
      </c>
      <c r="C306">
        <f t="shared" si="8"/>
        <v>150087.63348326483</v>
      </c>
      <c r="F306" s="2">
        <f t="shared" si="9"/>
        <v>150087.63348326483</v>
      </c>
      <c r="G306" s="1"/>
    </row>
    <row r="307" spans="1:7" x14ac:dyDescent="0.3">
      <c r="A307" s="2">
        <v>596400</v>
      </c>
      <c r="B307" s="2">
        <v>532644.06651673513</v>
      </c>
      <c r="C307">
        <f t="shared" si="8"/>
        <v>63755.933483264875</v>
      </c>
      <c r="F307" s="2">
        <f t="shared" si="9"/>
        <v>63755.933483264875</v>
      </c>
      <c r="G307" s="1"/>
    </row>
    <row r="308" spans="1:7" x14ac:dyDescent="0.3">
      <c r="A308" s="2">
        <v>701400</v>
      </c>
      <c r="B308" s="2">
        <v>628930.86651673494</v>
      </c>
      <c r="C308">
        <f t="shared" si="8"/>
        <v>72469.133483265061</v>
      </c>
      <c r="F308" s="2">
        <f t="shared" si="9"/>
        <v>72469.133483265061</v>
      </c>
      <c r="G308" s="1"/>
    </row>
    <row r="309" spans="1:7" x14ac:dyDescent="0.3">
      <c r="A309" s="2">
        <v>592200</v>
      </c>
      <c r="B309" s="2">
        <v>568002.311516735</v>
      </c>
      <c r="C309">
        <f t="shared" si="8"/>
        <v>24197.688483264996</v>
      </c>
      <c r="F309" s="2">
        <f t="shared" si="9"/>
        <v>24197.688483264996</v>
      </c>
      <c r="G309" s="1"/>
    </row>
    <row r="310" spans="1:7" x14ac:dyDescent="0.3">
      <c r="A310" s="2">
        <v>478800</v>
      </c>
      <c r="B310" s="2">
        <v>581915.9115167351</v>
      </c>
      <c r="C310">
        <f t="shared" si="8"/>
        <v>-103115.9115167351</v>
      </c>
      <c r="F310" s="2">
        <f t="shared" si="9"/>
        <v>103115.9115167351</v>
      </c>
      <c r="G310" s="1"/>
    </row>
    <row r="311" spans="1:7" x14ac:dyDescent="0.3">
      <c r="A311" s="2">
        <v>426300</v>
      </c>
      <c r="B311" s="2">
        <v>465613.24651673512</v>
      </c>
      <c r="C311">
        <f t="shared" si="8"/>
        <v>-39313.246516735118</v>
      </c>
      <c r="F311" s="2">
        <f t="shared" si="9"/>
        <v>39313.246516735118</v>
      </c>
      <c r="G311" s="1"/>
    </row>
    <row r="312" spans="1:7" x14ac:dyDescent="0.3">
      <c r="A312" s="2">
        <v>338100</v>
      </c>
      <c r="B312" s="2">
        <v>350167.9815167351</v>
      </c>
      <c r="C312">
        <f t="shared" si="8"/>
        <v>-12067.981516735104</v>
      </c>
      <c r="F312" s="2">
        <f t="shared" si="9"/>
        <v>12067.981516735104</v>
      </c>
      <c r="G312" s="1"/>
    </row>
    <row r="313" spans="1:7" x14ac:dyDescent="0.3">
      <c r="A313" s="2">
        <v>464100</v>
      </c>
      <c r="B313" s="2">
        <v>521885.50651673489</v>
      </c>
      <c r="C313">
        <f t="shared" si="8"/>
        <v>-57785.506516734895</v>
      </c>
      <c r="F313" s="2">
        <f t="shared" si="9"/>
        <v>57785.506516734895</v>
      </c>
      <c r="G313" s="1"/>
    </row>
    <row r="314" spans="1:7" x14ac:dyDescent="0.3">
      <c r="A314" s="2">
        <v>407400</v>
      </c>
      <c r="B314" s="2">
        <v>451042.31151673506</v>
      </c>
      <c r="C314">
        <f t="shared" si="8"/>
        <v>-43642.311516735062</v>
      </c>
      <c r="F314" s="2">
        <f t="shared" si="9"/>
        <v>43642.311516735062</v>
      </c>
      <c r="G314" s="1"/>
    </row>
    <row r="315" spans="1:7" x14ac:dyDescent="0.3">
      <c r="A315" s="2">
        <v>453600</v>
      </c>
      <c r="B315" s="2">
        <v>513520.78651673504</v>
      </c>
      <c r="C315">
        <f t="shared" si="8"/>
        <v>-59920.786516735039</v>
      </c>
      <c r="F315" s="2">
        <f t="shared" si="9"/>
        <v>59920.786516735039</v>
      </c>
      <c r="G315" s="1"/>
    </row>
    <row r="316" spans="1:7" x14ac:dyDescent="0.3">
      <c r="A316" s="2">
        <v>499800</v>
      </c>
      <c r="B316" s="2">
        <v>524605.23151673493</v>
      </c>
      <c r="C316">
        <f t="shared" si="8"/>
        <v>-24805.23151673493</v>
      </c>
      <c r="F316" s="2">
        <f t="shared" si="9"/>
        <v>24805.23151673493</v>
      </c>
      <c r="G316" s="1"/>
    </row>
    <row r="317" spans="1:7" x14ac:dyDescent="0.3">
      <c r="A317" s="2">
        <v>340200</v>
      </c>
      <c r="B317" s="2">
        <v>425901.42151673505</v>
      </c>
      <c r="C317">
        <f t="shared" si="8"/>
        <v>-85701.421516735048</v>
      </c>
      <c r="F317" s="2">
        <f t="shared" si="9"/>
        <v>85701.421516735048</v>
      </c>
      <c r="G317" s="1"/>
    </row>
    <row r="318" spans="1:7" x14ac:dyDescent="0.3">
      <c r="A318" s="2">
        <v>373800</v>
      </c>
      <c r="B318" s="2">
        <v>369894.83651673497</v>
      </c>
      <c r="C318">
        <f t="shared" si="8"/>
        <v>3905.1634832650307</v>
      </c>
      <c r="F318" s="2">
        <f t="shared" si="9"/>
        <v>3905.1634832650307</v>
      </c>
      <c r="G318" s="1"/>
    </row>
    <row r="319" spans="1:7" x14ac:dyDescent="0.3">
      <c r="A319" s="2">
        <v>415800</v>
      </c>
      <c r="B319" s="2">
        <v>384397.366516735</v>
      </c>
      <c r="C319">
        <f t="shared" si="8"/>
        <v>31402.633483265003</v>
      </c>
      <c r="F319" s="2">
        <f t="shared" si="9"/>
        <v>31402.633483265003</v>
      </c>
      <c r="G319" s="1"/>
    </row>
    <row r="320" spans="1:7" x14ac:dyDescent="0.3">
      <c r="A320" s="2">
        <v>485100</v>
      </c>
      <c r="B320" s="2">
        <v>496873.78651673504</v>
      </c>
      <c r="C320">
        <f t="shared" si="8"/>
        <v>-11773.786516735039</v>
      </c>
      <c r="F320" s="2">
        <f t="shared" si="9"/>
        <v>11773.786516735039</v>
      </c>
      <c r="G320" s="1"/>
    </row>
    <row r="321" spans="1:7" x14ac:dyDescent="0.3">
      <c r="A321" s="2">
        <v>441000</v>
      </c>
      <c r="B321" s="2">
        <v>447875.67151673516</v>
      </c>
      <c r="C321">
        <f t="shared" si="8"/>
        <v>-6875.6715167351649</v>
      </c>
      <c r="F321" s="2">
        <f t="shared" si="9"/>
        <v>6875.6715167351649</v>
      </c>
      <c r="G321" s="1"/>
    </row>
    <row r="322" spans="1:7" x14ac:dyDescent="0.3">
      <c r="A322" s="2">
        <v>499800</v>
      </c>
      <c r="B322" s="2">
        <v>511575.08651673509</v>
      </c>
      <c r="C322">
        <f t="shared" si="8"/>
        <v>-11775.086516735086</v>
      </c>
      <c r="F322" s="2">
        <f t="shared" si="9"/>
        <v>11775.086516735086</v>
      </c>
      <c r="G322" s="1"/>
    </row>
    <row r="323" spans="1:7" x14ac:dyDescent="0.3">
      <c r="A323" s="2">
        <v>485100</v>
      </c>
      <c r="B323" s="2">
        <v>510827.00651673513</v>
      </c>
      <c r="C323">
        <f t="shared" si="8"/>
        <v>-25727.006516735128</v>
      </c>
      <c r="F323" s="2">
        <f t="shared" si="9"/>
        <v>25727.006516735128</v>
      </c>
      <c r="G323" s="1"/>
    </row>
    <row r="324" spans="1:7" x14ac:dyDescent="0.3">
      <c r="A324" s="2">
        <v>428400</v>
      </c>
      <c r="B324" s="2">
        <v>472823.06151673495</v>
      </c>
      <c r="C324">
        <f t="shared" si="8"/>
        <v>-44423.061516734946</v>
      </c>
      <c r="F324" s="2">
        <f t="shared" si="9"/>
        <v>44423.061516734946</v>
      </c>
      <c r="G324" s="1"/>
    </row>
    <row r="325" spans="1:7" x14ac:dyDescent="0.3">
      <c r="A325" s="2">
        <v>388500</v>
      </c>
      <c r="B325" s="2">
        <v>400166.95651673496</v>
      </c>
      <c r="C325">
        <f t="shared" si="8"/>
        <v>-11666.956516734965</v>
      </c>
      <c r="F325" s="2">
        <f t="shared" si="9"/>
        <v>11666.956516734965</v>
      </c>
      <c r="G325" s="1"/>
    </row>
    <row r="326" spans="1:7" x14ac:dyDescent="0.3">
      <c r="A326" s="2">
        <v>525000</v>
      </c>
      <c r="B326" s="2">
        <v>522339.79151673504</v>
      </c>
      <c r="C326">
        <f t="shared" si="8"/>
        <v>2660.2084832649562</v>
      </c>
      <c r="F326" s="2">
        <f t="shared" si="9"/>
        <v>2660.2084832649562</v>
      </c>
      <c r="G326" s="1"/>
    </row>
    <row r="327" spans="1:7" x14ac:dyDescent="0.3">
      <c r="A327" s="2">
        <v>516600</v>
      </c>
      <c r="B327" s="2">
        <v>535007.79151673499</v>
      </c>
      <c r="C327">
        <f t="shared" si="8"/>
        <v>-18407.791516734986</v>
      </c>
      <c r="F327" s="2">
        <f t="shared" si="9"/>
        <v>18407.791516734986</v>
      </c>
      <c r="G327" s="1"/>
    </row>
    <row r="328" spans="1:7" x14ac:dyDescent="0.3">
      <c r="A328" s="2">
        <v>483000</v>
      </c>
      <c r="B328" s="2">
        <v>513098.12651673501</v>
      </c>
      <c r="C328">
        <f t="shared" si="8"/>
        <v>-30098.126516735007</v>
      </c>
      <c r="F328" s="2">
        <f t="shared" si="9"/>
        <v>30098.126516735007</v>
      </c>
      <c r="G328" s="1"/>
    </row>
    <row r="329" spans="1:7" x14ac:dyDescent="0.3">
      <c r="A329" s="2">
        <v>466200</v>
      </c>
      <c r="B329" s="2">
        <v>421237.38151673501</v>
      </c>
      <c r="C329">
        <f t="shared" si="8"/>
        <v>44962.618483264989</v>
      </c>
      <c r="F329" s="2">
        <f t="shared" si="9"/>
        <v>44962.618483264989</v>
      </c>
      <c r="G329" s="1"/>
    </row>
    <row r="330" spans="1:7" x14ac:dyDescent="0.3">
      <c r="A330" s="2">
        <v>405300</v>
      </c>
      <c r="B330" s="2">
        <v>485848.48651673511</v>
      </c>
      <c r="C330">
        <f t="shared" si="8"/>
        <v>-80548.486516735109</v>
      </c>
      <c r="F330" s="2">
        <f t="shared" si="9"/>
        <v>80548.486516735109</v>
      </c>
      <c r="G330" s="1"/>
    </row>
    <row r="331" spans="1:7" x14ac:dyDescent="0.3">
      <c r="A331" s="2">
        <v>474600</v>
      </c>
      <c r="B331" s="2">
        <v>554634.08151673502</v>
      </c>
      <c r="C331">
        <f t="shared" si="8"/>
        <v>-80034.081516735023</v>
      </c>
      <c r="F331" s="2">
        <f t="shared" si="9"/>
        <v>80034.081516735023</v>
      </c>
      <c r="G331" s="1"/>
    </row>
    <row r="332" spans="1:7" x14ac:dyDescent="0.3">
      <c r="A332" s="2">
        <v>415800</v>
      </c>
      <c r="B332" s="2">
        <v>519287.54651673505</v>
      </c>
      <c r="C332">
        <f t="shared" si="8"/>
        <v>-103487.54651673505</v>
      </c>
      <c r="F332" s="2">
        <f t="shared" si="9"/>
        <v>103487.54651673505</v>
      </c>
      <c r="G332" s="1"/>
    </row>
    <row r="333" spans="1:7" x14ac:dyDescent="0.3">
      <c r="A333" s="2">
        <v>359100</v>
      </c>
      <c r="B333" s="2">
        <v>445136.41651673504</v>
      </c>
      <c r="C333">
        <f t="shared" si="8"/>
        <v>-86036.416516735044</v>
      </c>
      <c r="F333" s="2">
        <f t="shared" si="9"/>
        <v>86036.416516735044</v>
      </c>
      <c r="G333" s="1"/>
    </row>
    <row r="334" spans="1:7" x14ac:dyDescent="0.3">
      <c r="A334" s="2">
        <v>407400</v>
      </c>
      <c r="B334" s="2">
        <v>523175.44151673495</v>
      </c>
      <c r="C334">
        <f t="shared" ref="C334:C397" si="10">A334-B334</f>
        <v>-115775.44151673495</v>
      </c>
      <c r="F334" s="2">
        <f t="shared" ref="F334:F397" si="11">ABS(C334)</f>
        <v>115775.44151673495</v>
      </c>
      <c r="G334" s="1"/>
    </row>
    <row r="335" spans="1:7" x14ac:dyDescent="0.3">
      <c r="A335" s="2">
        <v>466200</v>
      </c>
      <c r="B335" s="2">
        <v>506848.21651673509</v>
      </c>
      <c r="C335">
        <f t="shared" si="10"/>
        <v>-40648.21651673509</v>
      </c>
      <c r="F335" s="2">
        <f t="shared" si="11"/>
        <v>40648.21651673509</v>
      </c>
      <c r="G335" s="1"/>
    </row>
    <row r="336" spans="1:7" x14ac:dyDescent="0.3">
      <c r="A336" s="2">
        <v>434700</v>
      </c>
      <c r="B336" s="2">
        <v>494720.39651673514</v>
      </c>
      <c r="C336">
        <f t="shared" si="10"/>
        <v>-60020.396516735142</v>
      </c>
      <c r="F336" s="2">
        <f t="shared" si="11"/>
        <v>60020.396516735142</v>
      </c>
      <c r="G336" s="1"/>
    </row>
    <row r="337" spans="1:7" x14ac:dyDescent="0.3">
      <c r="A337" s="2">
        <v>443100</v>
      </c>
      <c r="B337" s="2">
        <v>457418.41151673504</v>
      </c>
      <c r="C337">
        <f t="shared" si="10"/>
        <v>-14318.411516735039</v>
      </c>
      <c r="F337" s="2">
        <f t="shared" si="11"/>
        <v>14318.411516735039</v>
      </c>
      <c r="G337" s="1"/>
    </row>
    <row r="338" spans="1:7" x14ac:dyDescent="0.3">
      <c r="A338" s="2">
        <v>409500</v>
      </c>
      <c r="B338" s="2">
        <v>423455.78151673515</v>
      </c>
      <c r="C338">
        <f t="shared" si="10"/>
        <v>-13955.781516735151</v>
      </c>
      <c r="F338" s="2">
        <f t="shared" si="11"/>
        <v>13955.781516735151</v>
      </c>
      <c r="G338" s="1"/>
    </row>
    <row r="339" spans="1:7" x14ac:dyDescent="0.3">
      <c r="A339" s="2">
        <v>388500</v>
      </c>
      <c r="B339" s="2">
        <v>417461.2315167351</v>
      </c>
      <c r="C339">
        <f t="shared" si="10"/>
        <v>-28961.231516735104</v>
      </c>
      <c r="F339" s="2">
        <f t="shared" si="11"/>
        <v>28961.231516735104</v>
      </c>
      <c r="G339" s="1"/>
    </row>
    <row r="340" spans="1:7" x14ac:dyDescent="0.3">
      <c r="A340" s="2">
        <v>432600</v>
      </c>
      <c r="B340" s="2">
        <v>453898.34151673497</v>
      </c>
      <c r="C340">
        <f t="shared" si="10"/>
        <v>-21298.341516734974</v>
      </c>
      <c r="F340" s="2">
        <f t="shared" si="11"/>
        <v>21298.341516734974</v>
      </c>
      <c r="G340" s="1"/>
    </row>
    <row r="341" spans="1:7" x14ac:dyDescent="0.3">
      <c r="A341" s="2">
        <v>399000</v>
      </c>
      <c r="B341" s="2">
        <v>434148.26151673513</v>
      </c>
      <c r="C341">
        <f t="shared" si="10"/>
        <v>-35148.261516735132</v>
      </c>
      <c r="F341" s="2">
        <f t="shared" si="11"/>
        <v>35148.261516735132</v>
      </c>
      <c r="G341" s="1"/>
    </row>
    <row r="342" spans="1:7" x14ac:dyDescent="0.3">
      <c r="A342" s="2">
        <v>392700</v>
      </c>
      <c r="B342" s="2">
        <v>437558.70651673508</v>
      </c>
      <c r="C342">
        <f t="shared" si="10"/>
        <v>-44858.706516735081</v>
      </c>
      <c r="F342" s="2">
        <f t="shared" si="11"/>
        <v>44858.706516735081</v>
      </c>
      <c r="G342" s="1"/>
    </row>
    <row r="343" spans="1:7" x14ac:dyDescent="0.3">
      <c r="A343" s="2">
        <v>686700</v>
      </c>
      <c r="B343" s="2">
        <v>680594.55151673499</v>
      </c>
      <c r="C343">
        <f t="shared" si="10"/>
        <v>6105.4484832650051</v>
      </c>
      <c r="F343" s="2">
        <f t="shared" si="11"/>
        <v>6105.4484832650051</v>
      </c>
      <c r="G343" s="1"/>
    </row>
    <row r="344" spans="1:7" x14ac:dyDescent="0.3">
      <c r="A344" s="2">
        <v>346500</v>
      </c>
      <c r="B344" s="2">
        <v>577832.84651673515</v>
      </c>
      <c r="C344">
        <f t="shared" si="10"/>
        <v>-231332.84651673515</v>
      </c>
      <c r="F344" s="2">
        <f t="shared" si="11"/>
        <v>231332.84651673515</v>
      </c>
      <c r="G344" s="1"/>
    </row>
    <row r="345" spans="1:7" x14ac:dyDescent="0.3">
      <c r="A345" s="2">
        <v>501900</v>
      </c>
      <c r="B345" s="2">
        <v>574148.61651673494</v>
      </c>
      <c r="C345">
        <f t="shared" si="10"/>
        <v>-72248.616516734939</v>
      </c>
      <c r="F345" s="2">
        <f t="shared" si="11"/>
        <v>72248.616516734939</v>
      </c>
      <c r="G345" s="1"/>
    </row>
    <row r="346" spans="1:7" x14ac:dyDescent="0.3">
      <c r="A346" s="2">
        <v>655200</v>
      </c>
      <c r="B346" s="2">
        <v>617439.11651673494</v>
      </c>
      <c r="C346">
        <f t="shared" si="10"/>
        <v>37760.883483265061</v>
      </c>
      <c r="F346" s="2">
        <f t="shared" si="11"/>
        <v>37760.883483265061</v>
      </c>
      <c r="G346" s="1"/>
    </row>
    <row r="347" spans="1:7" x14ac:dyDescent="0.3">
      <c r="A347" s="2">
        <v>367500</v>
      </c>
      <c r="B347" s="2">
        <v>455376.73651673511</v>
      </c>
      <c r="C347">
        <f t="shared" si="10"/>
        <v>-87876.736516735109</v>
      </c>
      <c r="F347" s="2">
        <f t="shared" si="11"/>
        <v>87876.736516735109</v>
      </c>
      <c r="G347" s="1"/>
    </row>
    <row r="348" spans="1:7" x14ac:dyDescent="0.3">
      <c r="A348" s="2">
        <v>361200</v>
      </c>
      <c r="B348" s="2">
        <v>422118.33651673509</v>
      </c>
      <c r="C348">
        <f t="shared" si="10"/>
        <v>-60918.336516735086</v>
      </c>
      <c r="F348" s="2">
        <f t="shared" si="11"/>
        <v>60918.336516735086</v>
      </c>
      <c r="G348" s="1"/>
    </row>
    <row r="349" spans="1:7" x14ac:dyDescent="0.3">
      <c r="A349" s="2">
        <v>485100</v>
      </c>
      <c r="B349" s="2">
        <v>561615.49651673506</v>
      </c>
      <c r="C349">
        <f t="shared" si="10"/>
        <v>-76515.49651673506</v>
      </c>
      <c r="F349" s="2">
        <f t="shared" si="11"/>
        <v>76515.49651673506</v>
      </c>
      <c r="G349" s="1"/>
    </row>
    <row r="350" spans="1:7" x14ac:dyDescent="0.3">
      <c r="A350" s="2">
        <v>514500</v>
      </c>
      <c r="B350" s="2">
        <v>593473.6615167351</v>
      </c>
      <c r="C350">
        <f t="shared" si="10"/>
        <v>-78973.661516735097</v>
      </c>
      <c r="F350" s="2">
        <f t="shared" si="11"/>
        <v>78973.661516735097</v>
      </c>
      <c r="G350" s="1"/>
    </row>
    <row r="351" spans="1:7" x14ac:dyDescent="0.3">
      <c r="A351" s="2">
        <v>558600</v>
      </c>
      <c r="B351" s="2">
        <v>568245.92151673511</v>
      </c>
      <c r="C351">
        <f t="shared" si="10"/>
        <v>-9645.9215167351067</v>
      </c>
      <c r="F351" s="2">
        <f t="shared" si="11"/>
        <v>9645.9215167351067</v>
      </c>
      <c r="G351" s="1"/>
    </row>
    <row r="352" spans="1:7" x14ac:dyDescent="0.3">
      <c r="A352" s="2">
        <v>480900</v>
      </c>
      <c r="B352" s="2">
        <v>528401.82651673513</v>
      </c>
      <c r="C352">
        <f t="shared" si="10"/>
        <v>-47501.826516735135</v>
      </c>
      <c r="F352" s="2">
        <f t="shared" si="11"/>
        <v>47501.826516735135</v>
      </c>
      <c r="G352" s="1"/>
    </row>
    <row r="353" spans="1:7" x14ac:dyDescent="0.3">
      <c r="A353" s="2">
        <v>506100</v>
      </c>
      <c r="B353" s="2">
        <v>568710.92151673487</v>
      </c>
      <c r="C353">
        <f t="shared" si="10"/>
        <v>-62610.921516734874</v>
      </c>
      <c r="F353" s="2">
        <f t="shared" si="11"/>
        <v>62610.921516734874</v>
      </c>
      <c r="G353" s="1"/>
    </row>
    <row r="354" spans="1:7" x14ac:dyDescent="0.3">
      <c r="A354" s="2">
        <v>390600</v>
      </c>
      <c r="B354" s="2">
        <v>483595.54651673505</v>
      </c>
      <c r="C354">
        <f t="shared" si="10"/>
        <v>-92995.546516735048</v>
      </c>
      <c r="F354" s="2">
        <f t="shared" si="11"/>
        <v>92995.546516735048</v>
      </c>
      <c r="G354" s="1"/>
    </row>
    <row r="355" spans="1:7" x14ac:dyDescent="0.3">
      <c r="A355" s="2">
        <v>632100</v>
      </c>
      <c r="B355" s="2">
        <v>617689.21651673503</v>
      </c>
      <c r="C355">
        <f t="shared" si="10"/>
        <v>14410.783483264968</v>
      </c>
      <c r="F355" s="2">
        <f t="shared" si="11"/>
        <v>14410.783483264968</v>
      </c>
      <c r="G355" s="1"/>
    </row>
    <row r="356" spans="1:7" x14ac:dyDescent="0.3">
      <c r="A356" s="2">
        <v>382200</v>
      </c>
      <c r="B356" s="2">
        <v>389523.54151673499</v>
      </c>
      <c r="C356">
        <f t="shared" si="10"/>
        <v>-7323.5415167349856</v>
      </c>
      <c r="F356" s="2">
        <f t="shared" si="11"/>
        <v>7323.5415167349856</v>
      </c>
      <c r="G356" s="1"/>
    </row>
    <row r="357" spans="1:7" x14ac:dyDescent="0.3">
      <c r="A357" s="2">
        <v>432600</v>
      </c>
      <c r="B357" s="2">
        <v>440061.306516735</v>
      </c>
      <c r="C357">
        <f t="shared" si="10"/>
        <v>-7461.3065167349996</v>
      </c>
      <c r="F357" s="2">
        <f t="shared" si="11"/>
        <v>7461.3065167349996</v>
      </c>
      <c r="G357" s="1"/>
    </row>
    <row r="358" spans="1:7" x14ac:dyDescent="0.3">
      <c r="A358" s="2">
        <v>373800</v>
      </c>
      <c r="B358" s="2">
        <v>368525.37651673501</v>
      </c>
      <c r="C358">
        <f t="shared" si="10"/>
        <v>5274.6234832649934</v>
      </c>
      <c r="F358" s="2">
        <f t="shared" si="11"/>
        <v>5274.6234832649934</v>
      </c>
      <c r="G358" s="1"/>
    </row>
    <row r="359" spans="1:7" x14ac:dyDescent="0.3">
      <c r="A359" s="2">
        <v>455700</v>
      </c>
      <c r="B359" s="2">
        <v>431342.94151673507</v>
      </c>
      <c r="C359">
        <f t="shared" si="10"/>
        <v>24357.058483264933</v>
      </c>
      <c r="F359" s="2">
        <f t="shared" si="11"/>
        <v>24357.058483264933</v>
      </c>
      <c r="G359" s="1"/>
    </row>
    <row r="360" spans="1:7" x14ac:dyDescent="0.3">
      <c r="A360" s="2">
        <v>476700</v>
      </c>
      <c r="B360" s="2">
        <v>427563.2315167351</v>
      </c>
      <c r="C360">
        <f t="shared" si="10"/>
        <v>49136.768483264896</v>
      </c>
      <c r="F360" s="2">
        <f t="shared" si="11"/>
        <v>49136.768483264896</v>
      </c>
      <c r="G360" s="1"/>
    </row>
    <row r="361" spans="1:7" x14ac:dyDescent="0.3">
      <c r="A361" s="2">
        <v>474600</v>
      </c>
      <c r="B361" s="2">
        <v>413354.44651673507</v>
      </c>
      <c r="C361">
        <f t="shared" si="10"/>
        <v>61245.553483264928</v>
      </c>
      <c r="F361" s="2">
        <f t="shared" si="11"/>
        <v>61245.553483264928</v>
      </c>
      <c r="G361" s="1"/>
    </row>
    <row r="362" spans="1:7" x14ac:dyDescent="0.3">
      <c r="A362" s="2">
        <v>525000</v>
      </c>
      <c r="B362" s="2">
        <v>491055.15651673515</v>
      </c>
      <c r="C362">
        <f t="shared" si="10"/>
        <v>33944.843483264849</v>
      </c>
      <c r="F362" s="2">
        <f t="shared" si="11"/>
        <v>33944.843483264849</v>
      </c>
      <c r="G362" s="1"/>
    </row>
    <row r="363" spans="1:7" x14ac:dyDescent="0.3">
      <c r="A363" s="2">
        <v>417900</v>
      </c>
      <c r="B363" s="2">
        <v>408896.50151673512</v>
      </c>
      <c r="C363">
        <f t="shared" si="10"/>
        <v>9003.498483264877</v>
      </c>
      <c r="F363" s="2">
        <f t="shared" si="11"/>
        <v>9003.498483264877</v>
      </c>
      <c r="G363" s="1"/>
    </row>
    <row r="364" spans="1:7" x14ac:dyDescent="0.3">
      <c r="A364" s="2">
        <v>436800</v>
      </c>
      <c r="B364" s="2">
        <v>375336.21651673497</v>
      </c>
      <c r="C364">
        <f t="shared" si="10"/>
        <v>61463.783483265026</v>
      </c>
      <c r="F364" s="2">
        <f t="shared" si="11"/>
        <v>61463.783483265026</v>
      </c>
      <c r="G364" s="1"/>
    </row>
    <row r="365" spans="1:7" x14ac:dyDescent="0.3">
      <c r="A365" s="2">
        <v>352800</v>
      </c>
      <c r="B365" s="2">
        <v>365233.33151673508</v>
      </c>
      <c r="C365">
        <f t="shared" si="10"/>
        <v>-12433.331516735081</v>
      </c>
      <c r="F365" s="2">
        <f t="shared" si="11"/>
        <v>12433.331516735081</v>
      </c>
      <c r="G365" s="1"/>
    </row>
    <row r="366" spans="1:7" x14ac:dyDescent="0.3">
      <c r="A366" s="2">
        <v>577500</v>
      </c>
      <c r="B366" s="2">
        <v>252739.08151673508</v>
      </c>
      <c r="C366">
        <f t="shared" si="10"/>
        <v>324760.91848326492</v>
      </c>
      <c r="F366" s="2">
        <f t="shared" si="11"/>
        <v>324760.91848326492</v>
      </c>
      <c r="G366" s="1"/>
    </row>
    <row r="367" spans="1:7" x14ac:dyDescent="0.3">
      <c r="A367" s="2">
        <v>459900</v>
      </c>
      <c r="B367" s="2">
        <v>299462.09151673509</v>
      </c>
      <c r="C367">
        <f t="shared" si="10"/>
        <v>160437.90848326491</v>
      </c>
      <c r="F367" s="2">
        <f t="shared" si="11"/>
        <v>160437.90848326491</v>
      </c>
      <c r="G367" s="1"/>
    </row>
    <row r="368" spans="1:7" x14ac:dyDescent="0.3">
      <c r="A368" s="2">
        <v>485100</v>
      </c>
      <c r="B368" s="2">
        <v>211509.42151673493</v>
      </c>
      <c r="C368">
        <f t="shared" si="10"/>
        <v>273590.57848326507</v>
      </c>
      <c r="F368" s="2">
        <f t="shared" si="11"/>
        <v>273590.57848326507</v>
      </c>
      <c r="G368" s="1"/>
    </row>
    <row r="369" spans="1:7" x14ac:dyDescent="0.3">
      <c r="A369" s="2">
        <v>289800</v>
      </c>
      <c r="B369" s="2">
        <v>69194.156516734976</v>
      </c>
      <c r="C369">
        <f t="shared" si="10"/>
        <v>220605.84348326502</v>
      </c>
      <c r="F369" s="2">
        <f t="shared" si="11"/>
        <v>220605.84348326502</v>
      </c>
      <c r="G369" s="1"/>
    </row>
    <row r="370" spans="1:7" x14ac:dyDescent="0.3">
      <c r="A370" s="2">
        <v>289800</v>
      </c>
      <c r="B370" s="2">
        <v>-32004.563483264996</v>
      </c>
      <c r="C370">
        <f t="shared" si="10"/>
        <v>321804.563483265</v>
      </c>
      <c r="F370" s="2">
        <f t="shared" si="11"/>
        <v>321804.563483265</v>
      </c>
      <c r="G370" s="1"/>
    </row>
    <row r="371" spans="1:7" x14ac:dyDescent="0.3">
      <c r="A371" s="2">
        <v>315000</v>
      </c>
      <c r="B371" s="2">
        <v>508965.28151673492</v>
      </c>
      <c r="C371">
        <f t="shared" si="10"/>
        <v>-193965.28151673492</v>
      </c>
      <c r="F371" s="2">
        <f t="shared" si="11"/>
        <v>193965.28151673492</v>
      </c>
      <c r="G371" s="1"/>
    </row>
    <row r="372" spans="1:7" x14ac:dyDescent="0.3">
      <c r="A372" s="2">
        <v>291900</v>
      </c>
      <c r="B372" s="2">
        <v>345165.92151673505</v>
      </c>
      <c r="C372">
        <f t="shared" si="10"/>
        <v>-53265.921516735048</v>
      </c>
      <c r="F372" s="2">
        <f t="shared" si="11"/>
        <v>53265.921516735048</v>
      </c>
      <c r="G372" s="1"/>
    </row>
    <row r="373" spans="1:7" x14ac:dyDescent="0.3">
      <c r="A373" s="2">
        <v>279300</v>
      </c>
      <c r="B373" s="2">
        <v>379415.8465167351</v>
      </c>
      <c r="C373">
        <f t="shared" si="10"/>
        <v>-100115.8465167351</v>
      </c>
      <c r="F373" s="2">
        <f t="shared" si="11"/>
        <v>100115.8465167351</v>
      </c>
      <c r="G373" s="1"/>
    </row>
    <row r="374" spans="1:7" x14ac:dyDescent="0.3">
      <c r="A374" s="2">
        <v>275100</v>
      </c>
      <c r="B374" s="2">
        <v>316997.8865167349</v>
      </c>
      <c r="C374">
        <f t="shared" si="10"/>
        <v>-41897.886516734899</v>
      </c>
      <c r="F374" s="2">
        <f t="shared" si="11"/>
        <v>41897.886516734899</v>
      </c>
      <c r="G374" s="1"/>
    </row>
    <row r="375" spans="1:7" x14ac:dyDescent="0.3">
      <c r="A375" s="2">
        <v>214200</v>
      </c>
      <c r="B375" s="2">
        <v>324128.77151673514</v>
      </c>
      <c r="C375">
        <f t="shared" si="10"/>
        <v>-109928.77151673514</v>
      </c>
      <c r="F375" s="2">
        <f t="shared" si="11"/>
        <v>109928.77151673514</v>
      </c>
      <c r="G375" s="1"/>
    </row>
    <row r="376" spans="1:7" x14ac:dyDescent="0.3">
      <c r="A376" s="2">
        <v>218400</v>
      </c>
      <c r="B376" s="2">
        <v>438199.62651673512</v>
      </c>
      <c r="C376">
        <f t="shared" si="10"/>
        <v>-219799.62651673512</v>
      </c>
      <c r="F376" s="2">
        <f t="shared" si="11"/>
        <v>219799.62651673512</v>
      </c>
      <c r="G376" s="1"/>
    </row>
    <row r="377" spans="1:7" x14ac:dyDescent="0.3">
      <c r="A377" s="2">
        <v>228900</v>
      </c>
      <c r="B377" s="2">
        <v>359597.00151673512</v>
      </c>
      <c r="C377">
        <f t="shared" si="10"/>
        <v>-130697.00151673512</v>
      </c>
      <c r="F377" s="2">
        <f t="shared" si="11"/>
        <v>130697.00151673512</v>
      </c>
      <c r="G377" s="1"/>
    </row>
    <row r="378" spans="1:7" x14ac:dyDescent="0.3">
      <c r="A378" s="2">
        <v>237300</v>
      </c>
      <c r="B378" s="2">
        <v>244913.43651673506</v>
      </c>
      <c r="C378">
        <f t="shared" si="10"/>
        <v>-7613.4365167350625</v>
      </c>
      <c r="F378" s="2">
        <f t="shared" si="11"/>
        <v>7613.4365167350625</v>
      </c>
      <c r="G378" s="1"/>
    </row>
    <row r="379" spans="1:7" x14ac:dyDescent="0.3">
      <c r="A379" s="2">
        <v>258300</v>
      </c>
      <c r="B379" s="2">
        <v>233113.3565167351</v>
      </c>
      <c r="C379">
        <f t="shared" si="10"/>
        <v>25186.643483264896</v>
      </c>
      <c r="F379" s="2">
        <f t="shared" si="11"/>
        <v>25186.643483264896</v>
      </c>
      <c r="G379" s="1"/>
    </row>
    <row r="380" spans="1:7" x14ac:dyDescent="0.3">
      <c r="A380" s="2">
        <v>184800</v>
      </c>
      <c r="B380" s="2">
        <v>67537.046516735165</v>
      </c>
      <c r="C380">
        <f t="shared" si="10"/>
        <v>117262.95348326484</v>
      </c>
      <c r="F380" s="2">
        <f t="shared" si="11"/>
        <v>117262.95348326484</v>
      </c>
      <c r="G380" s="1"/>
    </row>
    <row r="381" spans="1:7" x14ac:dyDescent="0.3">
      <c r="A381" s="2">
        <v>151200</v>
      </c>
      <c r="B381" s="2">
        <v>144271.81151673518</v>
      </c>
      <c r="C381">
        <f t="shared" si="10"/>
        <v>6928.1884832648211</v>
      </c>
      <c r="F381" s="2">
        <f t="shared" si="11"/>
        <v>6928.1884832648211</v>
      </c>
      <c r="G381" s="1"/>
    </row>
    <row r="382" spans="1:7" x14ac:dyDescent="0.3">
      <c r="A382" s="2">
        <v>220500</v>
      </c>
      <c r="B382" s="2">
        <v>117616.65651673509</v>
      </c>
      <c r="C382">
        <f t="shared" si="10"/>
        <v>102883.34348326491</v>
      </c>
      <c r="F382" s="2">
        <f t="shared" si="11"/>
        <v>102883.34348326491</v>
      </c>
      <c r="G382" s="1"/>
    </row>
    <row r="383" spans="1:7" x14ac:dyDescent="0.3">
      <c r="A383" s="2">
        <v>155400</v>
      </c>
      <c r="B383" s="2">
        <v>107491.48651673499</v>
      </c>
      <c r="C383">
        <f t="shared" si="10"/>
        <v>47908.513483265007</v>
      </c>
      <c r="F383" s="2">
        <f t="shared" si="11"/>
        <v>47908.513483265007</v>
      </c>
      <c r="G383" s="1"/>
    </row>
    <row r="384" spans="1:7" x14ac:dyDescent="0.3">
      <c r="A384" s="2">
        <v>214200</v>
      </c>
      <c r="B384" s="2">
        <v>111966.81651673507</v>
      </c>
      <c r="C384">
        <f t="shared" si="10"/>
        <v>102233.18348326493</v>
      </c>
      <c r="F384" s="2">
        <f t="shared" si="11"/>
        <v>102233.18348326493</v>
      </c>
      <c r="G384" s="1"/>
    </row>
    <row r="385" spans="1:7" x14ac:dyDescent="0.3">
      <c r="A385" s="2">
        <v>241500</v>
      </c>
      <c r="B385" s="2">
        <v>262109.69651673507</v>
      </c>
      <c r="C385">
        <f t="shared" si="10"/>
        <v>-20609.696516735072</v>
      </c>
      <c r="F385" s="2">
        <f t="shared" si="11"/>
        <v>20609.696516735072</v>
      </c>
      <c r="G385" s="1"/>
    </row>
    <row r="386" spans="1:7" x14ac:dyDescent="0.3">
      <c r="A386" s="2">
        <v>317100</v>
      </c>
      <c r="B386" s="2">
        <v>330645.45151673508</v>
      </c>
      <c r="C386">
        <f t="shared" si="10"/>
        <v>-13545.451516735076</v>
      </c>
      <c r="F386" s="2">
        <f t="shared" si="11"/>
        <v>13545.451516735076</v>
      </c>
      <c r="G386" s="1"/>
    </row>
    <row r="387" spans="1:7" x14ac:dyDescent="0.3">
      <c r="A387" s="2">
        <v>487200</v>
      </c>
      <c r="B387" s="2">
        <v>342003.57151673507</v>
      </c>
      <c r="C387">
        <f t="shared" si="10"/>
        <v>145196.42848326493</v>
      </c>
      <c r="F387" s="2">
        <f t="shared" si="11"/>
        <v>145196.42848326493</v>
      </c>
      <c r="G387" s="1"/>
    </row>
    <row r="388" spans="1:7" x14ac:dyDescent="0.3">
      <c r="A388" s="2">
        <v>203700</v>
      </c>
      <c r="B388" s="2">
        <v>179065.01651673502</v>
      </c>
      <c r="C388">
        <f t="shared" si="10"/>
        <v>24634.983483264979</v>
      </c>
      <c r="F388" s="2">
        <f t="shared" si="11"/>
        <v>24634.983483264979</v>
      </c>
      <c r="G388" s="1"/>
    </row>
    <row r="389" spans="1:7" x14ac:dyDescent="0.3">
      <c r="A389" s="2">
        <v>289800</v>
      </c>
      <c r="B389" s="2">
        <v>393243.71151673497</v>
      </c>
      <c r="C389">
        <f t="shared" si="10"/>
        <v>-103443.71151673497</v>
      </c>
      <c r="F389" s="2">
        <f t="shared" si="11"/>
        <v>103443.71151673497</v>
      </c>
      <c r="G389" s="1"/>
    </row>
    <row r="390" spans="1:7" x14ac:dyDescent="0.3">
      <c r="A390" s="2">
        <v>266700</v>
      </c>
      <c r="B390" s="2">
        <v>353953.00151673501</v>
      </c>
      <c r="C390">
        <f t="shared" si="10"/>
        <v>-87253.001516735007</v>
      </c>
      <c r="F390" s="2">
        <f t="shared" si="11"/>
        <v>87253.001516735007</v>
      </c>
      <c r="G390" s="1"/>
    </row>
    <row r="391" spans="1:7" x14ac:dyDescent="0.3">
      <c r="A391" s="2">
        <v>275100</v>
      </c>
      <c r="B391" s="2">
        <v>396153.23151673499</v>
      </c>
      <c r="C391">
        <f t="shared" si="10"/>
        <v>-121053.23151673499</v>
      </c>
      <c r="F391" s="2">
        <f t="shared" si="11"/>
        <v>121053.23151673499</v>
      </c>
      <c r="G391" s="1"/>
    </row>
    <row r="392" spans="1:7" x14ac:dyDescent="0.3">
      <c r="A392" s="2">
        <v>262500</v>
      </c>
      <c r="B392" s="2">
        <v>366029.69151673518</v>
      </c>
      <c r="C392">
        <f t="shared" si="10"/>
        <v>-103529.69151673518</v>
      </c>
      <c r="F392" s="2">
        <f t="shared" si="11"/>
        <v>103529.69151673518</v>
      </c>
      <c r="G392" s="1"/>
    </row>
    <row r="393" spans="1:7" x14ac:dyDescent="0.3">
      <c r="A393" s="2">
        <v>178500</v>
      </c>
      <c r="B393" s="2">
        <v>303102.9715167351</v>
      </c>
      <c r="C393">
        <f t="shared" si="10"/>
        <v>-124602.9715167351</v>
      </c>
      <c r="F393" s="2">
        <f t="shared" si="11"/>
        <v>124602.9715167351</v>
      </c>
      <c r="G393" s="1"/>
    </row>
    <row r="394" spans="1:7" x14ac:dyDescent="0.3">
      <c r="A394" s="2">
        <v>105000</v>
      </c>
      <c r="B394" s="2">
        <v>161894.03151673515</v>
      </c>
      <c r="C394">
        <f t="shared" si="10"/>
        <v>-56894.031516735151</v>
      </c>
      <c r="F394" s="2">
        <f t="shared" si="11"/>
        <v>56894.031516735151</v>
      </c>
      <c r="G394" s="1"/>
    </row>
    <row r="395" spans="1:7" x14ac:dyDescent="0.3">
      <c r="A395" s="2">
        <v>132300</v>
      </c>
      <c r="B395" s="2">
        <v>203159.8465167351</v>
      </c>
      <c r="C395">
        <f t="shared" si="10"/>
        <v>-70859.846516735095</v>
      </c>
      <c r="F395" s="2">
        <f t="shared" si="11"/>
        <v>70859.846516735095</v>
      </c>
      <c r="G395" s="1"/>
    </row>
    <row r="396" spans="1:7" x14ac:dyDescent="0.3">
      <c r="A396" s="2">
        <v>117600</v>
      </c>
      <c r="B396" s="2">
        <v>249562.92151673505</v>
      </c>
      <c r="C396">
        <f t="shared" si="10"/>
        <v>-131962.92151673505</v>
      </c>
      <c r="F396" s="2">
        <f t="shared" si="11"/>
        <v>131962.92151673505</v>
      </c>
      <c r="G396" s="1"/>
    </row>
    <row r="397" spans="1:7" x14ac:dyDescent="0.3">
      <c r="A397" s="2">
        <v>151200</v>
      </c>
      <c r="B397" s="2">
        <v>350356.11151673523</v>
      </c>
      <c r="C397">
        <f t="shared" si="10"/>
        <v>-199156.11151673523</v>
      </c>
      <c r="F397" s="2">
        <f t="shared" si="11"/>
        <v>199156.11151673523</v>
      </c>
      <c r="G397" s="1"/>
    </row>
    <row r="398" spans="1:7" x14ac:dyDescent="0.3">
      <c r="A398" s="2">
        <v>254100</v>
      </c>
      <c r="B398" s="2">
        <v>355745.06651673507</v>
      </c>
      <c r="C398">
        <f t="shared" ref="C398:C461" si="12">A398-B398</f>
        <v>-101645.06651673507</v>
      </c>
      <c r="F398" s="2">
        <f t="shared" ref="F398:F461" si="13">ABS(C398)</f>
        <v>101645.06651673507</v>
      </c>
      <c r="G398" s="1"/>
    </row>
    <row r="399" spans="1:7" x14ac:dyDescent="0.3">
      <c r="A399" s="2">
        <v>174300</v>
      </c>
      <c r="B399" s="2">
        <v>270277.45151673508</v>
      </c>
      <c r="C399">
        <f t="shared" si="12"/>
        <v>-95977.451516735076</v>
      </c>
      <c r="F399" s="2">
        <f t="shared" si="13"/>
        <v>95977.451516735076</v>
      </c>
      <c r="G399" s="1"/>
    </row>
    <row r="400" spans="1:7" x14ac:dyDescent="0.3">
      <c r="A400" s="2">
        <v>178500</v>
      </c>
      <c r="B400" s="2">
        <v>203471.39151673502</v>
      </c>
      <c r="C400">
        <f t="shared" si="12"/>
        <v>-24971.391516735021</v>
      </c>
      <c r="F400" s="2">
        <f t="shared" si="13"/>
        <v>24971.391516735021</v>
      </c>
      <c r="G400" s="1"/>
    </row>
    <row r="401" spans="1:7" x14ac:dyDescent="0.3">
      <c r="A401" s="2">
        <v>105000</v>
      </c>
      <c r="B401" s="2">
        <v>264364.871516735</v>
      </c>
      <c r="C401">
        <f t="shared" si="12"/>
        <v>-159364.871516735</v>
      </c>
      <c r="F401" s="2">
        <f t="shared" si="13"/>
        <v>159364.871516735</v>
      </c>
      <c r="G401" s="1"/>
    </row>
    <row r="402" spans="1:7" x14ac:dyDescent="0.3">
      <c r="A402" s="2">
        <v>249900</v>
      </c>
      <c r="B402" s="2">
        <v>126716.30651673494</v>
      </c>
      <c r="C402">
        <f t="shared" si="12"/>
        <v>123183.69348326506</v>
      </c>
      <c r="F402" s="2">
        <f t="shared" si="13"/>
        <v>123183.69348326506</v>
      </c>
      <c r="G402" s="1"/>
    </row>
    <row r="403" spans="1:7" x14ac:dyDescent="0.3">
      <c r="A403" s="2">
        <v>585900</v>
      </c>
      <c r="B403" s="2">
        <v>375584.14651673503</v>
      </c>
      <c r="C403">
        <f t="shared" si="12"/>
        <v>210315.85348326497</v>
      </c>
      <c r="F403" s="2">
        <f t="shared" si="13"/>
        <v>210315.85348326497</v>
      </c>
      <c r="G403" s="1"/>
    </row>
    <row r="404" spans="1:7" x14ac:dyDescent="0.3">
      <c r="A404" s="2">
        <v>361200</v>
      </c>
      <c r="B404" s="2">
        <v>221548.00151673501</v>
      </c>
      <c r="C404">
        <f t="shared" si="12"/>
        <v>139651.99848326499</v>
      </c>
      <c r="F404" s="2">
        <f t="shared" si="13"/>
        <v>139651.99848326499</v>
      </c>
      <c r="G404" s="1"/>
    </row>
    <row r="405" spans="1:7" x14ac:dyDescent="0.3">
      <c r="A405" s="2">
        <v>577500</v>
      </c>
      <c r="B405" s="2">
        <v>400276.15651673515</v>
      </c>
      <c r="C405">
        <f t="shared" si="12"/>
        <v>177223.84348326485</v>
      </c>
      <c r="F405" s="2">
        <f t="shared" si="13"/>
        <v>177223.84348326485</v>
      </c>
      <c r="G405" s="1"/>
    </row>
    <row r="406" spans="1:7" x14ac:dyDescent="0.3">
      <c r="A406" s="2">
        <v>315000</v>
      </c>
      <c r="B406" s="2">
        <v>410397.31151673506</v>
      </c>
      <c r="C406">
        <f t="shared" si="12"/>
        <v>-95397.311516735062</v>
      </c>
      <c r="F406" s="2">
        <f t="shared" si="13"/>
        <v>95397.311516735062</v>
      </c>
      <c r="G406" s="1"/>
    </row>
    <row r="407" spans="1:7" x14ac:dyDescent="0.3">
      <c r="A407" s="2">
        <v>361200</v>
      </c>
      <c r="B407" s="2">
        <v>367773.42151673505</v>
      </c>
      <c r="C407">
        <f t="shared" si="12"/>
        <v>-6573.4215167350485</v>
      </c>
      <c r="F407" s="2">
        <f t="shared" si="13"/>
        <v>6573.4215167350485</v>
      </c>
      <c r="G407" s="1"/>
    </row>
    <row r="408" spans="1:7" x14ac:dyDescent="0.3">
      <c r="A408" s="2">
        <v>375900</v>
      </c>
      <c r="B408" s="2">
        <v>49468.686516735121</v>
      </c>
      <c r="C408">
        <f t="shared" si="12"/>
        <v>326431.31348326488</v>
      </c>
      <c r="F408" s="2">
        <f t="shared" si="13"/>
        <v>326431.31348326488</v>
      </c>
      <c r="G408" s="1"/>
    </row>
    <row r="409" spans="1:7" x14ac:dyDescent="0.3">
      <c r="A409" s="2">
        <v>342300</v>
      </c>
      <c r="B409" s="2">
        <v>250120.65151673503</v>
      </c>
      <c r="C409">
        <f t="shared" si="12"/>
        <v>92179.34848326497</v>
      </c>
      <c r="F409" s="2">
        <f t="shared" si="13"/>
        <v>92179.34848326497</v>
      </c>
      <c r="G409" s="1"/>
    </row>
    <row r="410" spans="1:7" x14ac:dyDescent="0.3">
      <c r="A410" s="2">
        <v>147000</v>
      </c>
      <c r="B410" s="2">
        <v>11717.211516735144</v>
      </c>
      <c r="C410">
        <f t="shared" si="12"/>
        <v>135282.78848326486</v>
      </c>
      <c r="F410" s="2">
        <f t="shared" si="13"/>
        <v>135282.78848326486</v>
      </c>
      <c r="G410" s="1"/>
    </row>
    <row r="411" spans="1:7" x14ac:dyDescent="0.3">
      <c r="A411" s="2">
        <v>151200</v>
      </c>
      <c r="B411" s="2">
        <v>263521.75651673501</v>
      </c>
      <c r="C411">
        <f t="shared" si="12"/>
        <v>-112321.75651673501</v>
      </c>
      <c r="F411" s="2">
        <f t="shared" si="13"/>
        <v>112321.75651673501</v>
      </c>
      <c r="G411" s="1"/>
    </row>
    <row r="412" spans="1:7" x14ac:dyDescent="0.3">
      <c r="A412" s="2">
        <v>157500</v>
      </c>
      <c r="B412" s="2">
        <v>329014.11651673511</v>
      </c>
      <c r="C412">
        <f t="shared" si="12"/>
        <v>-171514.11651673511</v>
      </c>
      <c r="F412" s="2">
        <f t="shared" si="13"/>
        <v>171514.11651673511</v>
      </c>
      <c r="G412" s="1"/>
    </row>
    <row r="413" spans="1:7" x14ac:dyDescent="0.3">
      <c r="A413" s="2">
        <v>218400</v>
      </c>
      <c r="B413" s="2">
        <v>191849.39651673503</v>
      </c>
      <c r="C413">
        <f t="shared" si="12"/>
        <v>26550.603483264975</v>
      </c>
      <c r="F413" s="2">
        <f t="shared" si="13"/>
        <v>26550.603483264975</v>
      </c>
      <c r="G413" s="1"/>
    </row>
    <row r="414" spans="1:7" x14ac:dyDescent="0.3">
      <c r="A414" s="2">
        <v>184800</v>
      </c>
      <c r="B414" s="2">
        <v>313687.32151673507</v>
      </c>
      <c r="C414">
        <f t="shared" si="12"/>
        <v>-128887.32151673507</v>
      </c>
      <c r="F414" s="2">
        <f t="shared" si="13"/>
        <v>128887.32151673507</v>
      </c>
      <c r="G414" s="1"/>
    </row>
    <row r="415" spans="1:7" x14ac:dyDescent="0.3">
      <c r="A415" s="2">
        <v>176400</v>
      </c>
      <c r="B415" s="2">
        <v>365739.29651673505</v>
      </c>
      <c r="C415">
        <f t="shared" si="12"/>
        <v>-189339.29651673505</v>
      </c>
      <c r="F415" s="2">
        <f t="shared" si="13"/>
        <v>189339.29651673505</v>
      </c>
      <c r="G415" s="1"/>
    </row>
    <row r="416" spans="1:7" x14ac:dyDescent="0.3">
      <c r="A416" s="2">
        <v>350700</v>
      </c>
      <c r="B416" s="2">
        <v>413742.2315167351</v>
      </c>
      <c r="C416">
        <f t="shared" si="12"/>
        <v>-63042.231516735104</v>
      </c>
      <c r="F416" s="2">
        <f t="shared" si="13"/>
        <v>63042.231516735104</v>
      </c>
      <c r="G416" s="1"/>
    </row>
    <row r="417" spans="1:7" x14ac:dyDescent="0.3">
      <c r="A417" s="2">
        <v>298200</v>
      </c>
      <c r="B417" s="2">
        <v>371306.08651673509</v>
      </c>
      <c r="C417">
        <f t="shared" si="12"/>
        <v>-73106.086516735086</v>
      </c>
      <c r="F417" s="2">
        <f t="shared" si="13"/>
        <v>73106.086516735086</v>
      </c>
      <c r="G417" s="1"/>
    </row>
    <row r="418" spans="1:7" x14ac:dyDescent="0.3">
      <c r="A418" s="2">
        <v>436800</v>
      </c>
      <c r="B418" s="2">
        <v>357674.21651673509</v>
      </c>
      <c r="C418">
        <f t="shared" si="12"/>
        <v>79125.78348326491</v>
      </c>
      <c r="F418" s="2">
        <f t="shared" si="13"/>
        <v>79125.78348326491</v>
      </c>
      <c r="G418" s="1"/>
    </row>
    <row r="419" spans="1:7" x14ac:dyDescent="0.3">
      <c r="A419" s="2">
        <v>281400</v>
      </c>
      <c r="B419" s="2">
        <v>297358.9815167351</v>
      </c>
      <c r="C419">
        <f t="shared" si="12"/>
        <v>-15958.981516735104</v>
      </c>
      <c r="F419" s="2">
        <f t="shared" si="13"/>
        <v>15958.981516735104</v>
      </c>
      <c r="G419" s="1"/>
    </row>
    <row r="420" spans="1:7" x14ac:dyDescent="0.3">
      <c r="A420" s="2">
        <v>245700</v>
      </c>
      <c r="B420" s="2">
        <v>317291.38151673513</v>
      </c>
      <c r="C420">
        <f t="shared" si="12"/>
        <v>-71591.381516735128</v>
      </c>
      <c r="F420" s="2">
        <f t="shared" si="13"/>
        <v>71591.381516735128</v>
      </c>
      <c r="G420" s="1"/>
    </row>
    <row r="421" spans="1:7" x14ac:dyDescent="0.3">
      <c r="A421" s="2">
        <v>174300</v>
      </c>
      <c r="B421" s="2">
        <v>267506.12651673501</v>
      </c>
      <c r="C421">
        <f t="shared" si="12"/>
        <v>-93206.126516735007</v>
      </c>
      <c r="F421" s="2">
        <f t="shared" si="13"/>
        <v>93206.126516735007</v>
      </c>
      <c r="G421" s="1"/>
    </row>
    <row r="422" spans="1:7" x14ac:dyDescent="0.3">
      <c r="A422" s="2">
        <v>214200</v>
      </c>
      <c r="B422" s="2">
        <v>356785.09151673497</v>
      </c>
      <c r="C422">
        <f t="shared" si="12"/>
        <v>-142585.09151673497</v>
      </c>
      <c r="F422" s="2">
        <f t="shared" si="13"/>
        <v>142585.09151673497</v>
      </c>
      <c r="G422" s="1"/>
    </row>
    <row r="423" spans="1:7" x14ac:dyDescent="0.3">
      <c r="A423" s="2">
        <v>228900</v>
      </c>
      <c r="B423" s="2">
        <v>401074.64651673514</v>
      </c>
      <c r="C423">
        <f t="shared" si="12"/>
        <v>-172174.64651673514</v>
      </c>
      <c r="F423" s="2">
        <f t="shared" si="13"/>
        <v>172174.64651673514</v>
      </c>
      <c r="G423" s="1"/>
    </row>
    <row r="424" spans="1:7" x14ac:dyDescent="0.3">
      <c r="A424" s="2">
        <v>231000</v>
      </c>
      <c r="B424" s="2">
        <v>324352.56151673495</v>
      </c>
      <c r="C424">
        <f t="shared" si="12"/>
        <v>-93352.561516734946</v>
      </c>
      <c r="F424" s="2">
        <f t="shared" si="13"/>
        <v>93352.561516734946</v>
      </c>
      <c r="G424" s="1"/>
    </row>
    <row r="425" spans="1:7" x14ac:dyDescent="0.3">
      <c r="A425" s="2">
        <v>199500</v>
      </c>
      <c r="B425" s="2">
        <v>312766.77651673503</v>
      </c>
      <c r="C425">
        <f t="shared" si="12"/>
        <v>-113266.77651673503</v>
      </c>
      <c r="F425" s="2">
        <f t="shared" si="13"/>
        <v>113266.77651673503</v>
      </c>
      <c r="G425" s="1"/>
    </row>
    <row r="426" spans="1:7" x14ac:dyDescent="0.3">
      <c r="A426" s="2">
        <v>304500</v>
      </c>
      <c r="B426" s="2">
        <v>379864.25651673513</v>
      </c>
      <c r="C426">
        <f t="shared" si="12"/>
        <v>-75364.256516735128</v>
      </c>
      <c r="F426" s="2">
        <f t="shared" si="13"/>
        <v>75364.256516735128</v>
      </c>
      <c r="G426" s="1"/>
    </row>
    <row r="427" spans="1:7" x14ac:dyDescent="0.3">
      <c r="A427" s="2">
        <v>296100</v>
      </c>
      <c r="B427" s="2">
        <v>399607.83151673496</v>
      </c>
      <c r="C427">
        <f t="shared" si="12"/>
        <v>-103507.83151673496</v>
      </c>
      <c r="F427" s="2">
        <f t="shared" si="13"/>
        <v>103507.83151673496</v>
      </c>
      <c r="G427" s="1"/>
    </row>
    <row r="428" spans="1:7" x14ac:dyDescent="0.3">
      <c r="A428" s="2">
        <v>338100</v>
      </c>
      <c r="B428" s="2">
        <v>447392.65151673503</v>
      </c>
      <c r="C428">
        <f t="shared" si="12"/>
        <v>-109292.65151673503</v>
      </c>
      <c r="F428" s="2">
        <f t="shared" si="13"/>
        <v>109292.65151673503</v>
      </c>
      <c r="G428" s="1"/>
    </row>
    <row r="429" spans="1:7" x14ac:dyDescent="0.3">
      <c r="A429" s="2">
        <v>300300</v>
      </c>
      <c r="B429" s="2">
        <v>402887.55651673506</v>
      </c>
      <c r="C429">
        <f t="shared" si="12"/>
        <v>-102587.55651673506</v>
      </c>
      <c r="F429" s="2">
        <f t="shared" si="13"/>
        <v>102587.55651673506</v>
      </c>
      <c r="G429" s="1"/>
    </row>
    <row r="430" spans="1:7" x14ac:dyDescent="0.3">
      <c r="A430" s="2">
        <v>245700</v>
      </c>
      <c r="B430" s="2">
        <v>394542.18651673506</v>
      </c>
      <c r="C430">
        <f t="shared" si="12"/>
        <v>-148842.18651673506</v>
      </c>
      <c r="F430" s="2">
        <f t="shared" si="13"/>
        <v>148842.18651673506</v>
      </c>
      <c r="G430" s="1"/>
    </row>
    <row r="431" spans="1:7" x14ac:dyDescent="0.3">
      <c r="A431" s="2">
        <v>281400</v>
      </c>
      <c r="B431" s="2">
        <v>343109.15151673503</v>
      </c>
      <c r="C431">
        <f t="shared" si="12"/>
        <v>-61709.15151673503</v>
      </c>
      <c r="F431" s="2">
        <f t="shared" si="13"/>
        <v>61709.15151673503</v>
      </c>
      <c r="G431" s="1"/>
    </row>
    <row r="432" spans="1:7" x14ac:dyDescent="0.3">
      <c r="A432" s="2">
        <v>201600</v>
      </c>
      <c r="B432" s="2">
        <v>385198.01151673513</v>
      </c>
      <c r="C432">
        <f t="shared" si="12"/>
        <v>-183598.01151673513</v>
      </c>
      <c r="F432" s="2">
        <f t="shared" si="13"/>
        <v>183598.01151673513</v>
      </c>
      <c r="G432" s="1"/>
    </row>
    <row r="433" spans="1:7" x14ac:dyDescent="0.3">
      <c r="A433" s="2">
        <v>182700</v>
      </c>
      <c r="B433" s="2">
        <v>267317.82651673508</v>
      </c>
      <c r="C433">
        <f t="shared" si="12"/>
        <v>-84617.826516735076</v>
      </c>
      <c r="F433" s="2">
        <f t="shared" si="13"/>
        <v>84617.826516735076</v>
      </c>
      <c r="G433" s="1"/>
    </row>
    <row r="434" spans="1:7" x14ac:dyDescent="0.3">
      <c r="A434" s="2">
        <v>176400</v>
      </c>
      <c r="B434" s="2">
        <v>166406.29151673493</v>
      </c>
      <c r="C434">
        <f t="shared" si="12"/>
        <v>9993.7084832650726</v>
      </c>
      <c r="F434" s="2">
        <f t="shared" si="13"/>
        <v>9993.7084832650726</v>
      </c>
      <c r="G434" s="1"/>
    </row>
    <row r="435" spans="1:7" x14ac:dyDescent="0.3">
      <c r="A435" s="2">
        <v>268800</v>
      </c>
      <c r="B435" s="2">
        <v>260602.13151673513</v>
      </c>
      <c r="C435">
        <f t="shared" si="12"/>
        <v>8197.8684832648723</v>
      </c>
      <c r="F435" s="2">
        <f t="shared" si="13"/>
        <v>8197.8684832648723</v>
      </c>
      <c r="G435" s="1"/>
    </row>
    <row r="436" spans="1:7" x14ac:dyDescent="0.3">
      <c r="A436" s="2">
        <v>220500</v>
      </c>
      <c r="B436" s="2">
        <v>285489.77651673503</v>
      </c>
      <c r="C436">
        <f t="shared" si="12"/>
        <v>-64989.77651673503</v>
      </c>
      <c r="F436" s="2">
        <f t="shared" si="13"/>
        <v>64989.77651673503</v>
      </c>
      <c r="G436" s="1"/>
    </row>
    <row r="437" spans="1:7" x14ac:dyDescent="0.3">
      <c r="A437" s="2">
        <v>359100</v>
      </c>
      <c r="B437" s="2">
        <v>364488.90651673515</v>
      </c>
      <c r="C437">
        <f t="shared" si="12"/>
        <v>-5388.9065167351509</v>
      </c>
      <c r="F437" s="2">
        <f t="shared" si="13"/>
        <v>5388.9065167351509</v>
      </c>
      <c r="G437" s="1"/>
    </row>
    <row r="438" spans="1:7" x14ac:dyDescent="0.3">
      <c r="A438" s="2">
        <v>386400</v>
      </c>
      <c r="B438" s="2">
        <v>380088.82151673507</v>
      </c>
      <c r="C438">
        <f t="shared" si="12"/>
        <v>6311.1784832649282</v>
      </c>
      <c r="F438" s="2">
        <f t="shared" si="13"/>
        <v>6311.1784832649282</v>
      </c>
      <c r="G438" s="1"/>
    </row>
    <row r="439" spans="1:7" x14ac:dyDescent="0.3">
      <c r="A439" s="2">
        <v>323400</v>
      </c>
      <c r="B439" s="2">
        <v>378596.37151673512</v>
      </c>
      <c r="C439">
        <f t="shared" si="12"/>
        <v>-55196.371516735118</v>
      </c>
      <c r="F439" s="2">
        <f t="shared" si="13"/>
        <v>55196.371516735118</v>
      </c>
      <c r="G439" s="1"/>
    </row>
    <row r="440" spans="1:7" x14ac:dyDescent="0.3">
      <c r="A440" s="2">
        <v>226800</v>
      </c>
      <c r="B440" s="2">
        <v>270379.79651673505</v>
      </c>
      <c r="C440">
        <f t="shared" si="12"/>
        <v>-43579.796516735048</v>
      </c>
      <c r="F440" s="2">
        <f t="shared" si="13"/>
        <v>43579.796516735048</v>
      </c>
      <c r="G440" s="1"/>
    </row>
    <row r="441" spans="1:7" x14ac:dyDescent="0.3">
      <c r="A441" s="2">
        <v>247800</v>
      </c>
      <c r="B441" s="2">
        <v>320690.31151673495</v>
      </c>
      <c r="C441">
        <f t="shared" si="12"/>
        <v>-72890.311516734946</v>
      </c>
      <c r="F441" s="2">
        <f t="shared" si="13"/>
        <v>72890.311516734946</v>
      </c>
      <c r="G441" s="1"/>
    </row>
    <row r="442" spans="1:7" x14ac:dyDescent="0.3">
      <c r="A442" s="2">
        <v>312900</v>
      </c>
      <c r="B442" s="2">
        <v>377630.95151673508</v>
      </c>
      <c r="C442">
        <f t="shared" si="12"/>
        <v>-64730.951516735076</v>
      </c>
      <c r="F442" s="2">
        <f t="shared" si="13"/>
        <v>64730.951516735076</v>
      </c>
      <c r="G442" s="1"/>
    </row>
    <row r="443" spans="1:7" x14ac:dyDescent="0.3">
      <c r="A443" s="2">
        <v>264600</v>
      </c>
      <c r="B443" s="2">
        <v>384486.25151673512</v>
      </c>
      <c r="C443">
        <f t="shared" si="12"/>
        <v>-119886.25151673512</v>
      </c>
      <c r="F443" s="2">
        <f t="shared" si="13"/>
        <v>119886.25151673512</v>
      </c>
      <c r="G443" s="1"/>
    </row>
    <row r="444" spans="1:7" x14ac:dyDescent="0.3">
      <c r="A444" s="2">
        <v>296100</v>
      </c>
      <c r="B444" s="2">
        <v>360438.15151673515</v>
      </c>
      <c r="C444">
        <f t="shared" si="12"/>
        <v>-64338.151516735146</v>
      </c>
      <c r="F444" s="2">
        <f t="shared" si="13"/>
        <v>64338.151516735146</v>
      </c>
      <c r="G444" s="1"/>
    </row>
    <row r="445" spans="1:7" x14ac:dyDescent="0.3">
      <c r="A445" s="2">
        <v>273000</v>
      </c>
      <c r="B445" s="2">
        <v>367719.41151673504</v>
      </c>
      <c r="C445">
        <f t="shared" si="12"/>
        <v>-94719.411516735039</v>
      </c>
      <c r="F445" s="2">
        <f t="shared" si="13"/>
        <v>94719.411516735039</v>
      </c>
      <c r="G445" s="1"/>
    </row>
    <row r="446" spans="1:7" x14ac:dyDescent="0.3">
      <c r="A446" s="2">
        <v>281400</v>
      </c>
      <c r="B446" s="2">
        <v>416746.621516735</v>
      </c>
      <c r="C446">
        <f t="shared" si="12"/>
        <v>-135346.621516735</v>
      </c>
      <c r="F446" s="2">
        <f t="shared" si="13"/>
        <v>135346.621516735</v>
      </c>
      <c r="G446" s="1"/>
    </row>
    <row r="447" spans="1:7" x14ac:dyDescent="0.3">
      <c r="A447" s="2">
        <v>319200</v>
      </c>
      <c r="B447" s="2">
        <v>405463.30151673517</v>
      </c>
      <c r="C447">
        <f t="shared" si="12"/>
        <v>-86263.30151673517</v>
      </c>
      <c r="F447" s="2">
        <f t="shared" si="13"/>
        <v>86263.30151673517</v>
      </c>
      <c r="G447" s="1"/>
    </row>
    <row r="448" spans="1:7" x14ac:dyDescent="0.3">
      <c r="A448" s="2">
        <v>338100</v>
      </c>
      <c r="B448" s="2">
        <v>379463.57151673496</v>
      </c>
      <c r="C448">
        <f t="shared" si="12"/>
        <v>-41363.571516734955</v>
      </c>
      <c r="F448" s="2">
        <f t="shared" si="13"/>
        <v>41363.571516734955</v>
      </c>
      <c r="G448" s="1"/>
    </row>
    <row r="449" spans="1:7" x14ac:dyDescent="0.3">
      <c r="A449" s="2">
        <v>373800</v>
      </c>
      <c r="B449" s="2">
        <v>480088.78151673492</v>
      </c>
      <c r="C449">
        <f t="shared" si="12"/>
        <v>-106288.78151673492</v>
      </c>
      <c r="F449" s="2">
        <f t="shared" si="13"/>
        <v>106288.78151673492</v>
      </c>
      <c r="G449" s="1"/>
    </row>
    <row r="450" spans="1:7" x14ac:dyDescent="0.3">
      <c r="A450" s="2">
        <v>312900</v>
      </c>
      <c r="B450" s="2">
        <v>401150.52651673503</v>
      </c>
      <c r="C450">
        <f t="shared" si="12"/>
        <v>-88250.52651673503</v>
      </c>
      <c r="F450" s="2">
        <f t="shared" si="13"/>
        <v>88250.52651673503</v>
      </c>
      <c r="G450" s="1"/>
    </row>
    <row r="451" spans="1:7" x14ac:dyDescent="0.3">
      <c r="A451" s="2">
        <v>296100</v>
      </c>
      <c r="B451" s="2">
        <v>389870.25151673501</v>
      </c>
      <c r="C451">
        <f t="shared" si="12"/>
        <v>-93770.251516735007</v>
      </c>
      <c r="F451" s="2">
        <f t="shared" si="13"/>
        <v>93770.251516735007</v>
      </c>
      <c r="G451" s="1"/>
    </row>
    <row r="452" spans="1:7" x14ac:dyDescent="0.3">
      <c r="A452" s="2">
        <v>266700</v>
      </c>
      <c r="B452" s="2">
        <v>332798.94651673507</v>
      </c>
      <c r="C452">
        <f t="shared" si="12"/>
        <v>-66098.946516735072</v>
      </c>
      <c r="F452" s="2">
        <f t="shared" si="13"/>
        <v>66098.946516735072</v>
      </c>
      <c r="G452" s="1"/>
    </row>
    <row r="453" spans="1:7" x14ac:dyDescent="0.3">
      <c r="A453" s="2">
        <v>283500</v>
      </c>
      <c r="B453" s="2">
        <v>351793.77651673503</v>
      </c>
      <c r="C453">
        <f t="shared" si="12"/>
        <v>-68293.77651673503</v>
      </c>
      <c r="F453" s="2">
        <f t="shared" si="13"/>
        <v>68293.77651673503</v>
      </c>
      <c r="G453" s="1"/>
    </row>
    <row r="454" spans="1:7" x14ac:dyDescent="0.3">
      <c r="A454" s="2">
        <v>312900</v>
      </c>
      <c r="B454" s="2">
        <v>391092.79151673516</v>
      </c>
      <c r="C454">
        <f t="shared" si="12"/>
        <v>-78192.79151673516</v>
      </c>
      <c r="F454" s="2">
        <f t="shared" si="13"/>
        <v>78192.79151673516</v>
      </c>
      <c r="G454" s="1"/>
    </row>
    <row r="455" spans="1:7" x14ac:dyDescent="0.3">
      <c r="A455" s="2">
        <v>420000</v>
      </c>
      <c r="B455" s="2">
        <v>388647.46151673509</v>
      </c>
      <c r="C455">
        <f t="shared" si="12"/>
        <v>31352.538483264914</v>
      </c>
      <c r="F455" s="2">
        <f t="shared" si="13"/>
        <v>31352.538483264914</v>
      </c>
      <c r="G455" s="1"/>
    </row>
    <row r="456" spans="1:7" x14ac:dyDescent="0.3">
      <c r="A456" s="2">
        <v>344400</v>
      </c>
      <c r="B456" s="2">
        <v>423657.48151673487</v>
      </c>
      <c r="C456">
        <f t="shared" si="12"/>
        <v>-79257.481516734872</v>
      </c>
      <c r="F456" s="2">
        <f t="shared" si="13"/>
        <v>79257.481516734872</v>
      </c>
      <c r="G456" s="1"/>
    </row>
    <row r="457" spans="1:7" x14ac:dyDescent="0.3">
      <c r="A457" s="2">
        <v>371700</v>
      </c>
      <c r="B457" s="2">
        <v>414726.5865167352</v>
      </c>
      <c r="C457">
        <f t="shared" si="12"/>
        <v>-43026.586516735202</v>
      </c>
      <c r="F457" s="2">
        <f t="shared" si="13"/>
        <v>43026.586516735202</v>
      </c>
      <c r="G457" s="1"/>
    </row>
    <row r="458" spans="1:7" x14ac:dyDescent="0.3">
      <c r="A458" s="2">
        <v>409500</v>
      </c>
      <c r="B458" s="2">
        <v>416779.59151673497</v>
      </c>
      <c r="C458">
        <f t="shared" si="12"/>
        <v>-7279.591516734974</v>
      </c>
      <c r="F458" s="2">
        <f t="shared" si="13"/>
        <v>7279.591516734974</v>
      </c>
      <c r="G458" s="1"/>
    </row>
    <row r="459" spans="1:7" x14ac:dyDescent="0.3">
      <c r="A459" s="2">
        <v>424200</v>
      </c>
      <c r="B459" s="2">
        <v>473887.63151673501</v>
      </c>
      <c r="C459">
        <f t="shared" si="12"/>
        <v>-49687.631516735011</v>
      </c>
      <c r="F459" s="2">
        <f t="shared" si="13"/>
        <v>49687.631516735011</v>
      </c>
      <c r="G459" s="1"/>
    </row>
    <row r="460" spans="1:7" x14ac:dyDescent="0.3">
      <c r="A460" s="2">
        <v>449400</v>
      </c>
      <c r="B460" s="2">
        <v>415784.30151673494</v>
      </c>
      <c r="C460">
        <f t="shared" si="12"/>
        <v>33615.698483265063</v>
      </c>
      <c r="F460" s="2">
        <f t="shared" si="13"/>
        <v>33615.698483265063</v>
      </c>
      <c r="G460" s="1"/>
    </row>
    <row r="461" spans="1:7" x14ac:dyDescent="0.3">
      <c r="A461" s="2">
        <v>417900</v>
      </c>
      <c r="B461" s="2">
        <v>366957.46151673509</v>
      </c>
      <c r="C461">
        <f t="shared" si="12"/>
        <v>50942.538483264914</v>
      </c>
      <c r="F461" s="2">
        <f t="shared" si="13"/>
        <v>50942.538483264914</v>
      </c>
      <c r="G461" s="1"/>
    </row>
    <row r="462" spans="1:7" x14ac:dyDescent="0.3">
      <c r="A462" s="2">
        <v>399000</v>
      </c>
      <c r="B462" s="2">
        <v>350900.52651673515</v>
      </c>
      <c r="C462">
        <f t="shared" ref="C462:C501" si="14">A462-B462</f>
        <v>48099.473483264854</v>
      </c>
      <c r="F462" s="2">
        <f t="shared" ref="F462:F501" si="15">ABS(C462)</f>
        <v>48099.473483264854</v>
      </c>
      <c r="G462" s="1"/>
    </row>
    <row r="463" spans="1:7" x14ac:dyDescent="0.3">
      <c r="A463" s="2">
        <v>401100</v>
      </c>
      <c r="B463" s="2">
        <v>310075.01151673513</v>
      </c>
      <c r="C463">
        <f t="shared" si="14"/>
        <v>91024.988483264868</v>
      </c>
      <c r="F463" s="2">
        <f t="shared" si="15"/>
        <v>91024.988483264868</v>
      </c>
      <c r="G463" s="1"/>
    </row>
    <row r="464" spans="1:7" x14ac:dyDescent="0.3">
      <c r="A464" s="2">
        <v>401100</v>
      </c>
      <c r="B464" s="2">
        <v>338017.81651673507</v>
      </c>
      <c r="C464">
        <f t="shared" si="14"/>
        <v>63082.183483264933</v>
      </c>
      <c r="F464" s="2">
        <f t="shared" si="15"/>
        <v>63082.183483264933</v>
      </c>
      <c r="G464" s="1"/>
    </row>
    <row r="465" spans="1:7" x14ac:dyDescent="0.3">
      <c r="A465" s="2">
        <v>422100</v>
      </c>
      <c r="B465" s="2">
        <v>356140.6015167351</v>
      </c>
      <c r="C465">
        <f t="shared" si="14"/>
        <v>65959.3984832649</v>
      </c>
      <c r="F465" s="2">
        <f t="shared" si="15"/>
        <v>65959.3984832649</v>
      </c>
      <c r="G465" s="1"/>
    </row>
    <row r="466" spans="1:7" x14ac:dyDescent="0.3">
      <c r="A466" s="2">
        <v>417900</v>
      </c>
      <c r="B466" s="2">
        <v>378842.14151673502</v>
      </c>
      <c r="C466">
        <f t="shared" si="14"/>
        <v>39057.858483264979</v>
      </c>
      <c r="F466" s="2">
        <f t="shared" si="15"/>
        <v>39057.858483264979</v>
      </c>
      <c r="G466" s="1"/>
    </row>
    <row r="467" spans="1:7" x14ac:dyDescent="0.3">
      <c r="A467" s="2">
        <v>411600</v>
      </c>
      <c r="B467" s="2">
        <v>421312.75151673501</v>
      </c>
      <c r="C467">
        <f t="shared" si="14"/>
        <v>-9712.7515167350066</v>
      </c>
      <c r="F467" s="2">
        <f t="shared" si="15"/>
        <v>9712.7515167350066</v>
      </c>
      <c r="G467" s="1"/>
    </row>
    <row r="468" spans="1:7" x14ac:dyDescent="0.3">
      <c r="A468" s="2">
        <v>487200</v>
      </c>
      <c r="B468" s="2">
        <v>423153.26151673502</v>
      </c>
      <c r="C468">
        <f t="shared" si="14"/>
        <v>64046.738483264984</v>
      </c>
      <c r="F468" s="2">
        <f t="shared" si="15"/>
        <v>64046.738483264984</v>
      </c>
      <c r="G468" s="1"/>
    </row>
    <row r="469" spans="1:7" x14ac:dyDescent="0.3">
      <c r="A469" s="2">
        <v>625800</v>
      </c>
      <c r="B469" s="2">
        <v>499450.35651673522</v>
      </c>
      <c r="C469">
        <f t="shared" si="14"/>
        <v>126349.64348326478</v>
      </c>
      <c r="F469" s="2">
        <f t="shared" si="15"/>
        <v>126349.64348326478</v>
      </c>
      <c r="G469" s="1"/>
    </row>
    <row r="470" spans="1:7" x14ac:dyDescent="0.3">
      <c r="A470" s="2">
        <v>289800</v>
      </c>
      <c r="B470" s="2">
        <v>294713.39151673502</v>
      </c>
      <c r="C470">
        <f t="shared" si="14"/>
        <v>-4913.3915167350206</v>
      </c>
      <c r="F470" s="2">
        <f t="shared" si="15"/>
        <v>4913.3915167350206</v>
      </c>
      <c r="G470" s="1"/>
    </row>
    <row r="471" spans="1:7" x14ac:dyDescent="0.3">
      <c r="A471" s="2">
        <v>279300</v>
      </c>
      <c r="B471" s="2">
        <v>293678.62651673501</v>
      </c>
      <c r="C471">
        <f t="shared" si="14"/>
        <v>-14378.626516735007</v>
      </c>
      <c r="F471" s="2">
        <f t="shared" si="15"/>
        <v>14378.626516735007</v>
      </c>
      <c r="G471" s="1"/>
    </row>
    <row r="472" spans="1:7" x14ac:dyDescent="0.3">
      <c r="A472" s="2">
        <v>350700</v>
      </c>
      <c r="B472" s="2">
        <v>380354.1365167349</v>
      </c>
      <c r="C472">
        <f t="shared" si="14"/>
        <v>-29654.136516734899</v>
      </c>
      <c r="F472" s="2">
        <f t="shared" si="15"/>
        <v>29654.136516734899</v>
      </c>
      <c r="G472" s="1"/>
    </row>
    <row r="473" spans="1:7" x14ac:dyDescent="0.3">
      <c r="A473" s="2">
        <v>252000</v>
      </c>
      <c r="B473" s="2">
        <v>210618.16651673493</v>
      </c>
      <c r="C473">
        <f t="shared" si="14"/>
        <v>41381.833483265073</v>
      </c>
      <c r="F473" s="2">
        <f t="shared" si="15"/>
        <v>41381.833483265073</v>
      </c>
      <c r="G473" s="1"/>
    </row>
    <row r="474" spans="1:7" x14ac:dyDescent="0.3">
      <c r="A474" s="2">
        <v>306600</v>
      </c>
      <c r="B474" s="2">
        <v>361523.05151673517</v>
      </c>
      <c r="C474">
        <f t="shared" si="14"/>
        <v>-54923.05151673517</v>
      </c>
      <c r="F474" s="2">
        <f t="shared" si="15"/>
        <v>54923.05151673517</v>
      </c>
      <c r="G474" s="1"/>
    </row>
    <row r="475" spans="1:7" x14ac:dyDescent="0.3">
      <c r="A475" s="2">
        <v>449400</v>
      </c>
      <c r="B475" s="2">
        <v>418708.991516735</v>
      </c>
      <c r="C475">
        <f t="shared" si="14"/>
        <v>30691.008483265003</v>
      </c>
      <c r="F475" s="2">
        <f t="shared" si="15"/>
        <v>30691.008483265003</v>
      </c>
      <c r="G475" s="1"/>
    </row>
    <row r="476" spans="1:7" x14ac:dyDescent="0.3">
      <c r="A476" s="2">
        <v>483000</v>
      </c>
      <c r="B476" s="2">
        <v>445546.46651673497</v>
      </c>
      <c r="C476">
        <f t="shared" si="14"/>
        <v>37453.533483265026</v>
      </c>
      <c r="F476" s="2">
        <f t="shared" si="15"/>
        <v>37453.533483265026</v>
      </c>
      <c r="G476" s="1"/>
    </row>
    <row r="477" spans="1:7" x14ac:dyDescent="0.3">
      <c r="A477" s="2">
        <v>497700</v>
      </c>
      <c r="B477" s="2">
        <v>522068.48651673499</v>
      </c>
      <c r="C477">
        <f t="shared" si="14"/>
        <v>-24368.486516734993</v>
      </c>
      <c r="F477" s="2">
        <f t="shared" si="15"/>
        <v>24368.486516734993</v>
      </c>
      <c r="G477" s="1"/>
    </row>
    <row r="478" spans="1:7" x14ac:dyDescent="0.3">
      <c r="A478" s="2">
        <v>525000</v>
      </c>
      <c r="B478" s="2">
        <v>556909.97151673515</v>
      </c>
      <c r="C478">
        <f t="shared" si="14"/>
        <v>-31909.971516735153</v>
      </c>
      <c r="F478" s="2">
        <f t="shared" si="15"/>
        <v>31909.971516735153</v>
      </c>
      <c r="G478" s="1"/>
    </row>
    <row r="479" spans="1:7" x14ac:dyDescent="0.3">
      <c r="A479" s="2">
        <v>457800</v>
      </c>
      <c r="B479" s="2">
        <v>407466.94651673507</v>
      </c>
      <c r="C479">
        <f t="shared" si="14"/>
        <v>50333.053483264928</v>
      </c>
      <c r="F479" s="2">
        <f t="shared" si="15"/>
        <v>50333.053483264928</v>
      </c>
      <c r="G479" s="1"/>
    </row>
    <row r="480" spans="1:7" x14ac:dyDescent="0.3">
      <c r="A480" s="2">
        <v>432600</v>
      </c>
      <c r="B480" s="2">
        <v>385223.45151673508</v>
      </c>
      <c r="C480">
        <f t="shared" si="14"/>
        <v>47376.548483264924</v>
      </c>
      <c r="F480" s="2">
        <f t="shared" si="15"/>
        <v>47376.548483264924</v>
      </c>
      <c r="G480" s="1"/>
    </row>
    <row r="481" spans="1:7" x14ac:dyDescent="0.3">
      <c r="A481" s="2">
        <v>445200</v>
      </c>
      <c r="B481" s="2">
        <v>453341.85651673499</v>
      </c>
      <c r="C481">
        <f t="shared" si="14"/>
        <v>-8141.856516734988</v>
      </c>
      <c r="F481" s="2">
        <f t="shared" si="15"/>
        <v>8141.856516734988</v>
      </c>
      <c r="G481" s="1"/>
    </row>
    <row r="482" spans="1:7" x14ac:dyDescent="0.3">
      <c r="A482" s="2">
        <v>401100</v>
      </c>
      <c r="B482" s="2">
        <v>388466.38651673513</v>
      </c>
      <c r="C482">
        <f t="shared" si="14"/>
        <v>12633.613483264868</v>
      </c>
      <c r="F482" s="2">
        <f t="shared" si="15"/>
        <v>12633.613483264868</v>
      </c>
      <c r="G482" s="1"/>
    </row>
    <row r="483" spans="1:7" x14ac:dyDescent="0.3">
      <c r="A483" s="2">
        <v>432600</v>
      </c>
      <c r="B483" s="2">
        <v>408671.27151673514</v>
      </c>
      <c r="C483">
        <f t="shared" si="14"/>
        <v>23928.728483264858</v>
      </c>
      <c r="F483" s="2">
        <f t="shared" si="15"/>
        <v>23928.728483264858</v>
      </c>
      <c r="G483" s="1"/>
    </row>
    <row r="484" spans="1:7" x14ac:dyDescent="0.3">
      <c r="A484" s="2">
        <v>319200</v>
      </c>
      <c r="B484" s="2">
        <v>299867.76651673502</v>
      </c>
      <c r="C484">
        <f t="shared" si="14"/>
        <v>19332.233483264979</v>
      </c>
      <c r="F484" s="2">
        <f t="shared" si="15"/>
        <v>19332.233483264979</v>
      </c>
      <c r="G484" s="1"/>
    </row>
    <row r="485" spans="1:7" x14ac:dyDescent="0.3">
      <c r="A485" s="2">
        <v>147000</v>
      </c>
      <c r="B485" s="2">
        <v>232287.57651673496</v>
      </c>
      <c r="C485">
        <f t="shared" si="14"/>
        <v>-85287.57651673496</v>
      </c>
      <c r="F485" s="2">
        <f t="shared" si="15"/>
        <v>85287.57651673496</v>
      </c>
      <c r="G485" s="1"/>
    </row>
    <row r="486" spans="1:7" x14ac:dyDescent="0.3">
      <c r="A486" s="2">
        <v>170100</v>
      </c>
      <c r="B486" s="2">
        <v>142552.42151673505</v>
      </c>
      <c r="C486">
        <f t="shared" si="14"/>
        <v>27547.578483264952</v>
      </c>
      <c r="F486" s="2">
        <f t="shared" si="15"/>
        <v>27547.578483264952</v>
      </c>
      <c r="G486" s="1"/>
    </row>
    <row r="487" spans="1:7" x14ac:dyDescent="0.3">
      <c r="A487" s="2">
        <v>285600</v>
      </c>
      <c r="B487" s="2">
        <v>345552.16151673504</v>
      </c>
      <c r="C487">
        <f t="shared" si="14"/>
        <v>-59952.161516735039</v>
      </c>
      <c r="F487" s="2">
        <f t="shared" si="15"/>
        <v>59952.161516735039</v>
      </c>
      <c r="G487" s="1"/>
    </row>
    <row r="488" spans="1:7" x14ac:dyDescent="0.3">
      <c r="A488" s="2">
        <v>422100</v>
      </c>
      <c r="B488" s="2">
        <v>396759.44151673495</v>
      </c>
      <c r="C488">
        <f t="shared" si="14"/>
        <v>25340.558483265049</v>
      </c>
      <c r="F488" s="2">
        <f t="shared" si="15"/>
        <v>25340.558483265049</v>
      </c>
      <c r="G488" s="1"/>
    </row>
    <row r="489" spans="1:7" x14ac:dyDescent="0.3">
      <c r="A489" s="2">
        <v>457800</v>
      </c>
      <c r="B489" s="2">
        <v>404947.96151673509</v>
      </c>
      <c r="C489">
        <f t="shared" si="14"/>
        <v>52852.038483264914</v>
      </c>
      <c r="F489" s="2">
        <f t="shared" si="15"/>
        <v>52852.038483264914</v>
      </c>
      <c r="G489" s="1"/>
    </row>
    <row r="490" spans="1:7" x14ac:dyDescent="0.3">
      <c r="A490" s="2">
        <v>514500</v>
      </c>
      <c r="B490" s="2">
        <v>406764.27651673503</v>
      </c>
      <c r="C490">
        <f t="shared" si="14"/>
        <v>107735.72348326497</v>
      </c>
      <c r="F490" s="2">
        <f t="shared" si="15"/>
        <v>107735.72348326497</v>
      </c>
      <c r="G490" s="1"/>
    </row>
    <row r="491" spans="1:7" x14ac:dyDescent="0.3">
      <c r="A491" s="2">
        <v>485100</v>
      </c>
      <c r="B491" s="2">
        <v>341099.14651673503</v>
      </c>
      <c r="C491">
        <f t="shared" si="14"/>
        <v>144000.85348326497</v>
      </c>
      <c r="F491" s="2">
        <f t="shared" si="15"/>
        <v>144000.85348326497</v>
      </c>
      <c r="G491" s="1"/>
    </row>
    <row r="492" spans="1:7" x14ac:dyDescent="0.3">
      <c r="A492" s="2">
        <v>413700</v>
      </c>
      <c r="B492" s="2">
        <v>278455.48651673511</v>
      </c>
      <c r="C492">
        <f t="shared" si="14"/>
        <v>135244.51348326489</v>
      </c>
      <c r="F492" s="2">
        <f t="shared" si="15"/>
        <v>135244.51348326489</v>
      </c>
      <c r="G492" s="1"/>
    </row>
    <row r="493" spans="1:7" x14ac:dyDescent="0.3">
      <c r="A493" s="2">
        <v>384300</v>
      </c>
      <c r="B493" s="2">
        <v>389804.70651673508</v>
      </c>
      <c r="C493">
        <f t="shared" si="14"/>
        <v>-5504.7065167350811</v>
      </c>
      <c r="F493" s="2">
        <f t="shared" si="15"/>
        <v>5504.7065167350811</v>
      </c>
      <c r="G493" s="1"/>
    </row>
    <row r="494" spans="1:7" x14ac:dyDescent="0.3">
      <c r="A494" s="2">
        <v>445200</v>
      </c>
      <c r="B494" s="2">
        <v>422083.65151673515</v>
      </c>
      <c r="C494">
        <f t="shared" si="14"/>
        <v>23116.348483264854</v>
      </c>
      <c r="F494" s="2">
        <f t="shared" si="15"/>
        <v>23116.348483264854</v>
      </c>
      <c r="G494" s="1"/>
    </row>
    <row r="495" spans="1:7" x14ac:dyDescent="0.3">
      <c r="A495" s="2">
        <v>367500</v>
      </c>
      <c r="B495" s="2">
        <v>359478.58151673508</v>
      </c>
      <c r="C495">
        <f t="shared" si="14"/>
        <v>8021.4184832649189</v>
      </c>
      <c r="F495" s="2">
        <f t="shared" si="15"/>
        <v>8021.4184832649189</v>
      </c>
      <c r="G495" s="1"/>
    </row>
    <row r="496" spans="1:7" x14ac:dyDescent="0.3">
      <c r="A496" s="2">
        <v>352800</v>
      </c>
      <c r="B496" s="2">
        <v>407479.08151673508</v>
      </c>
      <c r="C496">
        <f t="shared" si="14"/>
        <v>-54679.081516735081</v>
      </c>
      <c r="F496" s="2">
        <f t="shared" si="15"/>
        <v>54679.081516735081</v>
      </c>
      <c r="G496" s="1"/>
    </row>
    <row r="497" spans="1:7" x14ac:dyDescent="0.3">
      <c r="A497" s="2">
        <v>470400</v>
      </c>
      <c r="B497" s="2">
        <v>471945.61151673517</v>
      </c>
      <c r="C497">
        <f t="shared" si="14"/>
        <v>-1545.6115167351672</v>
      </c>
      <c r="F497" s="2">
        <f t="shared" si="15"/>
        <v>1545.6115167351672</v>
      </c>
      <c r="G497" s="1"/>
    </row>
    <row r="498" spans="1:7" x14ac:dyDescent="0.3">
      <c r="A498" s="2">
        <v>432600</v>
      </c>
      <c r="B498" s="2">
        <v>437401.27651673497</v>
      </c>
      <c r="C498">
        <f t="shared" si="14"/>
        <v>-4801.2765167349717</v>
      </c>
      <c r="F498" s="2">
        <f t="shared" si="15"/>
        <v>4801.2765167349717</v>
      </c>
      <c r="G498" s="1"/>
    </row>
    <row r="499" spans="1:7" x14ac:dyDescent="0.3">
      <c r="A499" s="2">
        <v>501900</v>
      </c>
      <c r="B499" s="2">
        <v>548821.47651673493</v>
      </c>
      <c r="C499">
        <f t="shared" si="14"/>
        <v>-46921.476516734925</v>
      </c>
      <c r="F499" s="2">
        <f t="shared" si="15"/>
        <v>46921.476516734925</v>
      </c>
      <c r="G499" s="1"/>
    </row>
    <row r="500" spans="1:7" x14ac:dyDescent="0.3">
      <c r="A500" s="2">
        <v>462000</v>
      </c>
      <c r="B500" s="2">
        <v>523953.48651673505</v>
      </c>
      <c r="C500">
        <f t="shared" si="14"/>
        <v>-61953.486516735051</v>
      </c>
      <c r="F500" s="2">
        <f t="shared" si="15"/>
        <v>61953.486516735051</v>
      </c>
      <c r="G500" s="1"/>
    </row>
    <row r="501" spans="1:7" x14ac:dyDescent="0.3">
      <c r="A501" s="2">
        <v>249900</v>
      </c>
      <c r="B501" s="2">
        <v>442629.22651673504</v>
      </c>
      <c r="C501">
        <f t="shared" si="14"/>
        <v>-192729.22651673504</v>
      </c>
      <c r="F501" s="2">
        <f t="shared" si="15"/>
        <v>192729.22651673504</v>
      </c>
      <c r="G501" s="1"/>
    </row>
    <row r="502" spans="1:7" x14ac:dyDescent="0.3">
      <c r="E502" s="41" t="s">
        <v>115</v>
      </c>
      <c r="F502" s="40">
        <f>MAX(F13:F501)</f>
        <v>326431.31348326488</v>
      </c>
    </row>
    <row r="503" spans="1:7" x14ac:dyDescent="0.3">
      <c r="F503" s="2">
        <f>F502/100000</f>
        <v>3.2643131348326486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0858-2387-442B-9B96-B82AF35772E8}">
  <dimension ref="A1:W494"/>
  <sheetViews>
    <sheetView topLeftCell="A2" zoomScale="110" zoomScaleNormal="110" workbookViewId="0">
      <selection activeCell="K8" sqref="K8"/>
    </sheetView>
  </sheetViews>
  <sheetFormatPr defaultRowHeight="14.4" x14ac:dyDescent="0.3"/>
  <cols>
    <col min="2" max="2" width="10.33203125" bestFit="1" customWidth="1"/>
    <col min="3" max="3" width="14.33203125" bestFit="1" customWidth="1"/>
    <col min="4" max="4" width="14.77734375" bestFit="1" customWidth="1"/>
    <col min="6" max="6" width="14.21875" bestFit="1" customWidth="1"/>
    <col min="7" max="7" width="14.77734375" bestFit="1" customWidth="1"/>
    <col min="9" max="9" width="11.88671875" customWidth="1"/>
    <col min="10" max="10" width="14.21875" bestFit="1" customWidth="1"/>
    <col min="11" max="11" width="11" bestFit="1" customWidth="1"/>
  </cols>
  <sheetData>
    <row r="1" spans="1:23" x14ac:dyDescent="0.3">
      <c r="B1" t="s">
        <v>123</v>
      </c>
      <c r="E1" t="s">
        <v>124</v>
      </c>
      <c r="I1" t="s">
        <v>125</v>
      </c>
      <c r="M1" t="s">
        <v>126</v>
      </c>
    </row>
    <row r="2" spans="1:23" x14ac:dyDescent="0.3">
      <c r="E2" s="47" t="s">
        <v>127</v>
      </c>
      <c r="F2" s="47"/>
      <c r="I2" t="s">
        <v>128</v>
      </c>
      <c r="M2" t="s">
        <v>129</v>
      </c>
    </row>
    <row r="3" spans="1:23" x14ac:dyDescent="0.3">
      <c r="B3" s="2" t="s">
        <v>4</v>
      </c>
      <c r="C3" s="2" t="s">
        <v>55</v>
      </c>
      <c r="E3" s="2" t="s">
        <v>4</v>
      </c>
      <c r="F3" s="2" t="s">
        <v>55</v>
      </c>
      <c r="I3" s="2" t="s">
        <v>4</v>
      </c>
      <c r="J3" s="2" t="s">
        <v>55</v>
      </c>
      <c r="S3" t="s">
        <v>130</v>
      </c>
      <c r="W3" t="s">
        <v>149</v>
      </c>
    </row>
    <row r="4" spans="1:23" x14ac:dyDescent="0.3">
      <c r="B4" s="2">
        <v>504000</v>
      </c>
      <c r="C4" s="21">
        <v>632373.65151673486</v>
      </c>
      <c r="E4" s="13">
        <f>B4-$B$9</f>
        <v>-125580</v>
      </c>
      <c r="F4" s="13">
        <f>C4-$C$9</f>
        <v>24178.05299999984</v>
      </c>
      <c r="I4" cm="1">
        <f t="array" ref="I4:J8">MMULT(E4:F8,F16:G17)</f>
        <v>-1.7981902926084049E-5</v>
      </c>
      <c r="J4">
        <v>4.6224825301615998E-5</v>
      </c>
      <c r="M4" s="19" cm="1">
        <f t="array" ref="M4:Q8">MMULT(_xlfn.ANCHORARRAY(I4),TRANSPOSE(E4:F8))</f>
        <v>3.3757936455158402</v>
      </c>
      <c r="N4">
        <v>-0.67288921184184547</v>
      </c>
      <c r="O4">
        <v>2.8515652362726129E-5</v>
      </c>
      <c r="P4">
        <v>-0.52162241281457633</v>
      </c>
      <c r="Q4">
        <v>-2.1813105365117811</v>
      </c>
      <c r="S4">
        <f>SQRT(M4)</f>
        <v>1.8373332973404255</v>
      </c>
      <c r="W4" t="s">
        <v>150</v>
      </c>
    </row>
    <row r="5" spans="1:23" x14ac:dyDescent="0.3">
      <c r="B5" s="2">
        <v>453600</v>
      </c>
      <c r="C5" s="21">
        <v>525180.80151673499</v>
      </c>
      <c r="E5" s="13">
        <f t="shared" ref="E5:E8" si="0">B5-$B$9</f>
        <v>-175980</v>
      </c>
      <c r="F5" s="13">
        <f t="shared" ref="F5:F8" si="1">C5-$C$9</f>
        <v>-83014.79700000002</v>
      </c>
      <c r="I5">
        <v>-2.4191435204366393E-6</v>
      </c>
      <c r="J5">
        <v>-4.0395529579585481E-5</v>
      </c>
      <c r="M5">
        <v>-0.6728892118418458</v>
      </c>
      <c r="N5" s="19">
        <v>3.7791475644832246</v>
      </c>
      <c r="O5">
        <v>-1.797406950873901</v>
      </c>
      <c r="P5">
        <v>-0.84649843952633275</v>
      </c>
      <c r="Q5">
        <v>-0.46235296224114525</v>
      </c>
      <c r="S5">
        <f>SQRT(N5)</f>
        <v>1.9440029744018461</v>
      </c>
    </row>
    <row r="6" spans="1:23" x14ac:dyDescent="0.3">
      <c r="B6" s="2">
        <v>728700</v>
      </c>
      <c r="C6" s="21">
        <v>646754.85151673504</v>
      </c>
      <c r="E6" s="13">
        <f t="shared" si="0"/>
        <v>99120</v>
      </c>
      <c r="F6" s="13">
        <f t="shared" si="1"/>
        <v>38559.253000000026</v>
      </c>
      <c r="I6">
        <v>2.9602092293627033E-6</v>
      </c>
      <c r="J6">
        <v>1.5376407301106237E-5</v>
      </c>
      <c r="M6">
        <v>2.8515652362781641E-5</v>
      </c>
      <c r="N6">
        <v>-1.797406950873901</v>
      </c>
      <c r="O6" s="19">
        <v>0.88631871816883412</v>
      </c>
      <c r="P6">
        <v>0.46868411233817275</v>
      </c>
      <c r="Q6">
        <v>0.44237560471453125</v>
      </c>
      <c r="S6">
        <f>SQRT(O6)</f>
        <v>0.94144501600934405</v>
      </c>
    </row>
    <row r="7" spans="1:23" x14ac:dyDescent="0.3">
      <c r="B7" s="2">
        <v>701400</v>
      </c>
      <c r="C7" s="21">
        <v>624849.80651673512</v>
      </c>
      <c r="E7" s="13">
        <f t="shared" si="0"/>
        <v>71820</v>
      </c>
      <c r="F7" s="13">
        <f t="shared" si="1"/>
        <v>16654.208000000101</v>
      </c>
      <c r="I7">
        <v>4.3439854133278735E-6</v>
      </c>
      <c r="J7">
        <v>9.8830436806215792E-7</v>
      </c>
      <c r="M7">
        <v>-0.52162241281457611</v>
      </c>
      <c r="N7">
        <v>-0.84649843952633252</v>
      </c>
      <c r="O7">
        <v>0.4686841123381727</v>
      </c>
      <c r="P7" s="19">
        <v>0.32844445889822371</v>
      </c>
      <c r="Q7">
        <v>0.57099228110451217</v>
      </c>
      <c r="S7">
        <f>SQRT(P7)</f>
        <v>0.57310074061915472</v>
      </c>
    </row>
    <row r="8" spans="1:23" x14ac:dyDescent="0.3">
      <c r="B8" s="2">
        <v>760200</v>
      </c>
      <c r="C8" s="21">
        <v>611818.88151673507</v>
      </c>
      <c r="E8" s="13">
        <f t="shared" si="0"/>
        <v>130620</v>
      </c>
      <c r="F8" s="13">
        <f t="shared" si="1"/>
        <v>3623.283000000054</v>
      </c>
      <c r="I8">
        <v>1.3096851803830112E-5</v>
      </c>
      <c r="J8">
        <v>-2.2194007391198911E-5</v>
      </c>
      <c r="M8">
        <v>-2.1813105365117806</v>
      </c>
      <c r="N8">
        <v>-0.46235296224114553</v>
      </c>
      <c r="O8">
        <v>0.44237560471453141</v>
      </c>
      <c r="P8">
        <v>0.5709922811045125</v>
      </c>
      <c r="Q8" s="19">
        <v>1.6302956129338828</v>
      </c>
      <c r="S8">
        <f>SQRT(Q8)</f>
        <v>1.2768302991916674</v>
      </c>
    </row>
    <row r="9" spans="1:23" x14ac:dyDescent="0.3">
      <c r="A9" t="s">
        <v>131</v>
      </c>
      <c r="B9" s="52">
        <f>AVERAGE(B4:B8)</f>
        <v>629580</v>
      </c>
      <c r="C9" s="52">
        <f>AVERAGE(C4:C8)</f>
        <v>608195.59851673502</v>
      </c>
    </row>
    <row r="12" spans="1:23" x14ac:dyDescent="0.3">
      <c r="B12" t="s">
        <v>132</v>
      </c>
      <c r="F12" t="s">
        <v>133</v>
      </c>
    </row>
    <row r="14" spans="1:23" ht="15" thickBot="1" x14ac:dyDescent="0.35">
      <c r="B14" t="s">
        <v>134</v>
      </c>
      <c r="F14" t="s">
        <v>135</v>
      </c>
      <c r="J14" cm="1">
        <f t="array" ref="J14:K18">MMULT(E4:F8,F16:G17)</f>
        <v>-1.7981902926084049E-5</v>
      </c>
      <c r="K14">
        <v>4.6224825301615998E-5</v>
      </c>
      <c r="M14" cm="1">
        <f t="array" ref="M14:Q18">MMULT(_xlfn.ANCHORARRAY(I4),TRANSPOSE(E4:F8))</f>
        <v>3.3757936455158402</v>
      </c>
      <c r="N14">
        <v>-0.67288921184184547</v>
      </c>
      <c r="O14">
        <v>2.8515652362726129E-5</v>
      </c>
      <c r="P14">
        <v>-0.52162241281457633</v>
      </c>
      <c r="Q14">
        <v>-2.1813105365117811</v>
      </c>
    </row>
    <row r="15" spans="1:23" x14ac:dyDescent="0.3">
      <c r="B15" s="12"/>
      <c r="C15" s="12" t="s">
        <v>4</v>
      </c>
      <c r="D15" s="12" t="s">
        <v>55</v>
      </c>
      <c r="F15" s="12" t="s">
        <v>4</v>
      </c>
      <c r="G15" s="12" t="s">
        <v>55</v>
      </c>
      <c r="J15">
        <v>-2.4191435204366393E-6</v>
      </c>
      <c r="K15">
        <v>-4.0395529579585481E-5</v>
      </c>
      <c r="M15">
        <v>-0.6728892118418458</v>
      </c>
      <c r="N15">
        <v>3.7791475644832246</v>
      </c>
      <c r="O15">
        <v>-1.797406950873901</v>
      </c>
      <c r="P15">
        <v>-0.84649843952633275</v>
      </c>
      <c r="Q15">
        <v>-0.46235296224114525</v>
      </c>
    </row>
    <row r="16" spans="1:23" ht="15" thickBot="1" x14ac:dyDescent="0.35">
      <c r="B16" t="s">
        <v>4</v>
      </c>
      <c r="C16">
        <f>VARP('Mahanalobis  Dist cal'!$E$4:$E$8)</f>
        <v>15756753600</v>
      </c>
      <c r="D16" s="44">
        <v>3412807136.3400102</v>
      </c>
      <c r="F16">
        <f t="array" ref="F16:G17">MINVERSE(C16:D17)</f>
        <v>1.0567233266797552E-10</v>
      </c>
      <c r="G16">
        <v>-1.948697601762935E-10</v>
      </c>
      <c r="J16">
        <v>2.9602092293627033E-6</v>
      </c>
      <c r="K16">
        <v>1.5376407301106237E-5</v>
      </c>
      <c r="M16">
        <v>2.8515652362781641E-5</v>
      </c>
      <c r="N16">
        <v>-1.797406950873901</v>
      </c>
      <c r="O16">
        <v>0.88631871816883412</v>
      </c>
      <c r="P16">
        <v>0.46868411233817275</v>
      </c>
      <c r="Q16">
        <v>0.44237560471453125</v>
      </c>
    </row>
    <row r="17" spans="2:17" ht="15" thickBot="1" x14ac:dyDescent="0.35">
      <c r="B17" s="11" t="s">
        <v>55</v>
      </c>
      <c r="C17" s="11">
        <v>3412807136.3400102</v>
      </c>
      <c r="D17" s="11">
        <f>VARP('Mahanalobis  Dist cal'!$F$4:$F$8)</f>
        <v>1850668316.7090762</v>
      </c>
      <c r="F17">
        <v>-1.948697601762935E-10</v>
      </c>
      <c r="G17">
        <v>8.9970357905482314E-10</v>
      </c>
      <c r="J17">
        <v>4.3439854133278735E-6</v>
      </c>
      <c r="K17">
        <v>9.8830436806215792E-7</v>
      </c>
      <c r="M17">
        <v>-0.52162241281457611</v>
      </c>
      <c r="N17">
        <v>-0.84649843952633252</v>
      </c>
      <c r="O17">
        <v>0.4686841123381727</v>
      </c>
      <c r="P17">
        <v>0.32844445889822371</v>
      </c>
      <c r="Q17">
        <v>0.57099228110451217</v>
      </c>
    </row>
    <row r="18" spans="2:17" x14ac:dyDescent="0.3">
      <c r="J18">
        <v>1.3096851803830112E-5</v>
      </c>
      <c r="K18">
        <v>-2.2194007391198911E-5</v>
      </c>
      <c r="M18">
        <v>-2.1813105365117806</v>
      </c>
      <c r="N18">
        <v>-0.46235296224114553</v>
      </c>
      <c r="O18">
        <v>0.44237560471453141</v>
      </c>
      <c r="P18">
        <v>0.5709922811045125</v>
      </c>
      <c r="Q18">
        <v>1.6302956129338828</v>
      </c>
    </row>
    <row r="20" spans="2:17" x14ac:dyDescent="0.3">
      <c r="D20" t="s">
        <v>143</v>
      </c>
    </row>
    <row r="21" spans="2:17" ht="16.2" x14ac:dyDescent="0.3">
      <c r="D21" t="s">
        <v>144</v>
      </c>
    </row>
    <row r="23" spans="2:17" x14ac:dyDescent="0.3">
      <c r="F23">
        <f>VARP(E4:E8)</f>
        <v>15756753600</v>
      </c>
      <c r="G23">
        <v>3412807136.3400078</v>
      </c>
    </row>
    <row r="24" spans="2:17" x14ac:dyDescent="0.3">
      <c r="F24">
        <f>COVAR(E4:E8,F4:F8)</f>
        <v>3412807136.3400078</v>
      </c>
      <c r="G24">
        <f>VARP(F4:F8)</f>
        <v>1850668316.7090762</v>
      </c>
    </row>
    <row r="27" spans="2:17" x14ac:dyDescent="0.3">
      <c r="F27">
        <f t="array" ref="F27:G28">MINVERSE(F23:G24)</f>
        <v>1.0567233266797541E-10</v>
      </c>
      <c r="G27">
        <v>-1.9486976017629316E-10</v>
      </c>
    </row>
    <row r="28" spans="2:17" x14ac:dyDescent="0.3">
      <c r="F28">
        <v>-1.9486976017629314E-10</v>
      </c>
      <c r="G28">
        <v>8.9970357905482221E-10</v>
      </c>
    </row>
    <row r="494" spans="2:2" x14ac:dyDescent="0.3">
      <c r="B494" t="s">
        <v>131</v>
      </c>
    </row>
  </sheetData>
  <mergeCells count="1"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74FE-47CB-4BFC-AD89-EEE190E3F150}">
  <dimension ref="A2:C15"/>
  <sheetViews>
    <sheetView workbookViewId="0">
      <selection activeCell="L15" sqref="L15"/>
    </sheetView>
  </sheetViews>
  <sheetFormatPr defaultRowHeight="14.4" x14ac:dyDescent="0.3"/>
  <cols>
    <col min="2" max="2" width="15.88671875" customWidth="1"/>
  </cols>
  <sheetData>
    <row r="2" spans="1:3" x14ac:dyDescent="0.3">
      <c r="A2" s="45" t="s">
        <v>136</v>
      </c>
      <c r="C2" t="s">
        <v>137</v>
      </c>
    </row>
    <row r="13" spans="1:3" x14ac:dyDescent="0.3">
      <c r="B13" t="s">
        <v>138</v>
      </c>
      <c r="C13" t="s">
        <v>139</v>
      </c>
    </row>
    <row r="14" spans="1:3" x14ac:dyDescent="0.3">
      <c r="B14" t="s">
        <v>140</v>
      </c>
      <c r="C14" t="s">
        <v>141</v>
      </c>
    </row>
    <row r="15" spans="1:3" x14ac:dyDescent="0.3">
      <c r="B15" t="s">
        <v>142</v>
      </c>
      <c r="C15" t="s">
        <v>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housing</vt:lpstr>
      <vt:lpstr>Sheet1</vt:lpstr>
      <vt:lpstr>Terms</vt:lpstr>
      <vt:lpstr>Sheet2</vt:lpstr>
      <vt:lpstr>Lin Reg</vt:lpstr>
      <vt:lpstr>Calc oF errors</vt:lpstr>
      <vt:lpstr>QAM</vt:lpstr>
      <vt:lpstr>Distance Formula</vt:lpstr>
      <vt:lpstr>Chebyshev</vt:lpstr>
      <vt:lpstr>Mahanalobis  Dist cal</vt:lpstr>
      <vt:lpstr>Minkowsky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Raman</dc:creator>
  <cp:lastModifiedBy>Kalyan Raman</cp:lastModifiedBy>
  <dcterms:created xsi:type="dcterms:W3CDTF">2024-11-22T06:03:20Z</dcterms:created>
  <dcterms:modified xsi:type="dcterms:W3CDTF">2025-11-15T10:15:36Z</dcterms:modified>
</cp:coreProperties>
</file>